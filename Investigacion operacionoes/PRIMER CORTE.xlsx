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2025-2\3132249384\Investigacion operacionoes\"/>
    </mc:Choice>
  </mc:AlternateContent>
  <xr:revisionPtr revIDLastSave="0" documentId="13_ncr:1_{92114BE9-C76C-436B-8BD4-5E9884CA6A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1" i="4" l="1"/>
  <c r="R11" i="4"/>
  <c r="S6" i="4"/>
  <c r="M7" i="4"/>
  <c r="N14" i="4"/>
  <c r="I14" i="4"/>
  <c r="I7" i="4"/>
  <c r="E12" i="4"/>
  <c r="E14" i="4"/>
  <c r="F14" i="4"/>
  <c r="I9" i="4"/>
  <c r="J9" i="4"/>
  <c r="I16" i="4"/>
  <c r="J16" i="4"/>
  <c r="N16" i="4"/>
  <c r="O16" i="4"/>
  <c r="M9" i="4"/>
  <c r="N9" i="4"/>
  <c r="R13" i="4"/>
  <c r="S13" i="4"/>
  <c r="S8" i="4"/>
  <c r="T8" i="4"/>
  <c r="W13" i="4"/>
  <c r="X13" i="4"/>
  <c r="X12" i="4"/>
  <c r="W12" i="4"/>
  <c r="T7" i="4"/>
  <c r="S7" i="4"/>
  <c r="S12" i="4"/>
  <c r="R12" i="4"/>
  <c r="O15" i="4"/>
  <c r="N15" i="4"/>
  <c r="N8" i="4"/>
  <c r="M8" i="4"/>
  <c r="J15" i="4"/>
  <c r="I15" i="4"/>
  <c r="J8" i="4"/>
  <c r="I8" i="4"/>
  <c r="F13" i="4"/>
  <c r="D46" i="3"/>
  <c r="E46" i="3"/>
  <c r="H40" i="3"/>
  <c r="I40" i="3"/>
  <c r="H52" i="3"/>
  <c r="I52" i="3"/>
  <c r="H46" i="3"/>
  <c r="I46" i="3"/>
  <c r="O51" i="3"/>
  <c r="P51" i="3"/>
  <c r="L40" i="3"/>
  <c r="M40" i="3"/>
  <c r="L46" i="3"/>
  <c r="M46" i="3"/>
  <c r="P42" i="3"/>
  <c r="Q42" i="3"/>
  <c r="P50" i="3"/>
  <c r="O50" i="3"/>
  <c r="U46" i="3"/>
  <c r="T46" i="3"/>
  <c r="Q41" i="3"/>
  <c r="P41" i="3"/>
  <c r="M39" i="3"/>
  <c r="L39" i="3"/>
  <c r="M45" i="3"/>
  <c r="L45" i="3"/>
  <c r="I39" i="3"/>
  <c r="I45" i="3"/>
  <c r="I51" i="3"/>
  <c r="H51" i="3"/>
  <c r="H45" i="3"/>
  <c r="H39" i="3"/>
  <c r="E45" i="3"/>
  <c r="T12" i="3"/>
  <c r="O16" i="3"/>
  <c r="P7" i="3"/>
  <c r="L5" i="3"/>
  <c r="L11" i="3"/>
  <c r="H17" i="3"/>
  <c r="H11" i="3"/>
  <c r="H5" i="3"/>
  <c r="D13" i="3"/>
  <c r="E13" i="3"/>
  <c r="H19" i="3"/>
  <c r="I19" i="3"/>
  <c r="H13" i="3"/>
  <c r="I13" i="3"/>
  <c r="H7" i="3"/>
  <c r="I7" i="3"/>
  <c r="L13" i="3"/>
  <c r="M13" i="3"/>
  <c r="L7" i="3"/>
  <c r="M7" i="3"/>
  <c r="O18" i="3"/>
  <c r="P18" i="3"/>
  <c r="P9" i="3"/>
  <c r="Q9" i="3"/>
  <c r="T14" i="3"/>
  <c r="U14" i="3"/>
  <c r="U13" i="3"/>
  <c r="T13" i="3"/>
  <c r="Q8" i="3"/>
  <c r="P8" i="3"/>
  <c r="P17" i="3"/>
  <c r="O17" i="3"/>
  <c r="M12" i="3"/>
  <c r="L12" i="3"/>
  <c r="M6" i="3"/>
  <c r="L6" i="3"/>
  <c r="I6" i="3"/>
  <c r="I12" i="3"/>
  <c r="I18" i="3"/>
  <c r="H18" i="3"/>
  <c r="H12" i="3"/>
  <c r="H6" i="3"/>
  <c r="E12" i="3"/>
  <c r="E61" i="2"/>
  <c r="E62" i="2"/>
  <c r="E63" i="2"/>
  <c r="E60" i="2"/>
  <c r="F9" i="2"/>
  <c r="D37" i="2" s="1"/>
  <c r="F36" i="2" s="1"/>
  <c r="F10" i="2"/>
  <c r="H24" i="2" s="1"/>
  <c r="F11" i="2"/>
  <c r="H33" i="2" s="1"/>
  <c r="F12" i="2"/>
  <c r="L27" i="2" s="1"/>
  <c r="F13" i="2"/>
  <c r="L37" i="2" s="1"/>
  <c r="F14" i="2"/>
  <c r="P30" i="2" s="1"/>
  <c r="F8" i="2"/>
  <c r="D29" i="2" s="1"/>
  <c r="F28" i="2" s="1"/>
  <c r="I32" i="2" l="1"/>
  <c r="I23" i="2"/>
  <c r="J23" i="2" s="1"/>
  <c r="M26" i="2" s="1"/>
  <c r="N26" i="2" s="1"/>
  <c r="E18" i="2"/>
  <c r="U47" i="3" l="1"/>
  <c r="T47" i="3" s="1"/>
  <c r="J32" i="2"/>
  <c r="M36" i="2" s="1"/>
  <c r="N36" i="2" s="1"/>
  <c r="Q29" i="2" s="1"/>
  <c r="R29" i="2" s="1"/>
  <c r="R30" i="2" s="1"/>
  <c r="T45" i="3" l="1"/>
  <c r="C49" i="2"/>
  <c r="Q30" i="2"/>
  <c r="Q28" i="2" l="1"/>
  <c r="N37" i="2"/>
  <c r="M37" i="2" s="1"/>
  <c r="N27" i="2"/>
  <c r="M27" i="2" s="1"/>
  <c r="M25" i="2" l="1"/>
  <c r="J24" i="2"/>
  <c r="I24" i="2" s="1"/>
  <c r="I22" i="2" s="1"/>
  <c r="M35" i="2"/>
  <c r="J33" i="2"/>
  <c r="I33" i="2" s="1"/>
  <c r="F37" i="2"/>
  <c r="E37" i="2" s="1"/>
  <c r="E35" i="2" s="1"/>
  <c r="F29" i="2" l="1"/>
  <c r="E29" i="2" s="1"/>
  <c r="E27" i="2" s="1"/>
  <c r="I31" i="2"/>
</calcChain>
</file>

<file path=xl/sharedStrings.xml><?xml version="1.0" encoding="utf-8"?>
<sst xmlns="http://schemas.openxmlformats.org/spreadsheetml/2006/main" count="141" uniqueCount="58">
  <si>
    <t>A</t>
  </si>
  <si>
    <t>Hallamos el tiempo esperado para cada actividad</t>
  </si>
  <si>
    <t>Actividad</t>
  </si>
  <si>
    <t>Toptimista</t>
  </si>
  <si>
    <t>Tmasprobable</t>
  </si>
  <si>
    <t>Tpesimista</t>
  </si>
  <si>
    <t>Tesperado</t>
  </si>
  <si>
    <t xml:space="preserve">A </t>
  </si>
  <si>
    <t>B</t>
  </si>
  <si>
    <t>C</t>
  </si>
  <si>
    <t>D</t>
  </si>
  <si>
    <t>E</t>
  </si>
  <si>
    <t>F</t>
  </si>
  <si>
    <t>G</t>
  </si>
  <si>
    <t>Este sera el tiempo que vamos a evaluar en la grafica para hallar el la ruta critica</t>
  </si>
  <si>
    <t xml:space="preserve">Tenemos que la ruta crítica es: </t>
  </si>
  <si>
    <t>A, D, F, G</t>
  </si>
  <si>
    <t>Tiempo del proceso 41.83</t>
  </si>
  <si>
    <t>Nombre actividad</t>
  </si>
  <si>
    <t>Tiempo estimado</t>
  </si>
  <si>
    <t>Holgura</t>
  </si>
  <si>
    <t>Tiempo inicio temprano</t>
  </si>
  <si>
    <t>tiempo fin temprano</t>
  </si>
  <si>
    <t>tiempo inicio tardio</t>
  </si>
  <si>
    <t>tiempo fin tardio</t>
  </si>
  <si>
    <t>Tiempo esperado</t>
  </si>
  <si>
    <t>Desviacion estandar</t>
  </si>
  <si>
    <t>para calcular la desviacion estandar del proyecto debemos hallar la desviacion estandar de cada actividad del camino critico, luego hallarle la magnitud</t>
  </si>
  <si>
    <t>Desviacion estandar 𝜎</t>
  </si>
  <si>
    <t>Teniendo en cuenta que Z=1.88 según la tabla Z para un 97%</t>
  </si>
  <si>
    <t>Teniendo en cuenta que Z=1.645 según la tabla Z para un 95%</t>
  </si>
  <si>
    <t>H</t>
  </si>
  <si>
    <t>I</t>
  </si>
  <si>
    <t>Tiempo del proceso 22</t>
  </si>
  <si>
    <t>Ruta critica</t>
  </si>
  <si>
    <t>A,B,E,G,I</t>
  </si>
  <si>
    <t>Si F cambia de 2 a 4 afectaria la ruta critica y por este motivo se retrasara el tiempo de finalizacion, pasa de 22 a 23 dias</t>
  </si>
  <si>
    <t>Tiempo del proceso 23</t>
  </si>
  <si>
    <t>Tiempo del proceso 100 DIAS</t>
  </si>
  <si>
    <t>El proceso durara 100 dias</t>
  </si>
  <si>
    <t>Ruta critica= A, C, E, F, G, H</t>
  </si>
  <si>
    <t>Inversion 1</t>
  </si>
  <si>
    <t>Inversion 2</t>
  </si>
  <si>
    <t>Inversion 3</t>
  </si>
  <si>
    <t>Realista</t>
  </si>
  <si>
    <t>optimista</t>
  </si>
  <si>
    <t>pesimista</t>
  </si>
  <si>
    <t>Inversion1</t>
  </si>
  <si>
    <t>Inversion2</t>
  </si>
  <si>
    <t>inversion3</t>
  </si>
  <si>
    <t>LA MEJOR INVERSION ES LA 1</t>
  </si>
  <si>
    <t>Conservadora</t>
  </si>
  <si>
    <t>Especulativa</t>
  </si>
  <si>
    <t>Contraciclica</t>
  </si>
  <si>
    <t>Mejora</t>
  </si>
  <si>
    <t>estable</t>
  </si>
  <si>
    <t>empeora</t>
  </si>
  <si>
    <t>LA MEJOR INVERSION ES LA CONTRACICLICA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</si>
</sst>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2" fontId="0" fillId="3" borderId="1" xfId="0" applyNumberFormat="1" applyFill="1" applyBorder="1"/>
    <xf numFmtId="0" fontId="0" fillId="4" borderId="0" xfId="0" applyFill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0" fillId="0" borderId="10" xfId="0" applyBorder="1"/>
    <xf numFmtId="0" fontId="0" fillId="0" borderId="11" xfId="0" applyBorder="1"/>
    <xf numFmtId="0" fontId="0" fillId="5" borderId="0" xfId="0" applyFill="1"/>
    <xf numFmtId="0" fontId="0" fillId="5" borderId="1" xfId="0" applyFill="1" applyBorder="1"/>
    <xf numFmtId="2" fontId="0" fillId="5" borderId="1" xfId="0" applyNumberFormat="1" applyFill="1" applyBorder="1"/>
    <xf numFmtId="0" fontId="3" fillId="5" borderId="1" xfId="0" applyFont="1" applyFill="1" applyBorder="1"/>
    <xf numFmtId="2" fontId="3" fillId="5" borderId="1" xfId="0" applyNumberFormat="1" applyFont="1" applyFill="1" applyBorder="1"/>
    <xf numFmtId="0" fontId="0" fillId="4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6" xfId="0" applyNumberFormat="1" applyBorder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8" xfId="0" applyNumberFormat="1" applyBorder="1"/>
    <xf numFmtId="164" fontId="0" fillId="0" borderId="9" xfId="0" applyNumberForma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193675</xdr:colOff>
      <xdr:row>3</xdr:row>
      <xdr:rowOff>85725</xdr:rowOff>
    </xdr:from>
    <xdr:ext cx="2982996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5A7AB19-DAD1-0813-3A09-C60F2EF5BB70}"/>
                </a:ext>
              </a:extLst>
            </xdr:cNvPr>
            <xdr:cNvSpPr txBox="1"/>
          </xdr:nvSpPr>
          <xdr:spPr>
            <a:xfrm>
              <a:off x="5527675" y="638175"/>
              <a:ext cx="2982996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𝑇𝑒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𝑇𝑜𝑝𝑡𝑖𝑚𝑖𝑠𝑡𝑎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+4∗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𝑇𝑝𝑟𝑜𝑏𝑎𝑏𝑙𝑒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𝑇𝑝𝑒𝑠𝑖𝑚𝑖𝑠𝑡𝑎</m:t>
                        </m:r>
                      </m:num>
                      <m:den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5A7AB19-DAD1-0813-3A09-C60F2EF5BB70}"/>
                </a:ext>
              </a:extLst>
            </xdr:cNvPr>
            <xdr:cNvSpPr txBox="1"/>
          </xdr:nvSpPr>
          <xdr:spPr>
            <a:xfrm>
              <a:off x="5527675" y="638175"/>
              <a:ext cx="2982996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𝑇𝑒=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𝑇𝑜𝑝𝑡𝑖𝑚𝑖𝑠𝑡𝑎+4∗𝑇𝑝𝑟𝑜𝑏𝑎𝑏𝑙𝑒+𝑇𝑝𝑒𝑠𝑖𝑚𝑖𝑠𝑡𝑎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0</xdr:col>
      <xdr:colOff>415925</xdr:colOff>
      <xdr:row>29</xdr:row>
      <xdr:rowOff>22225</xdr:rowOff>
    </xdr:from>
    <xdr:to>
      <xdr:col>2</xdr:col>
      <xdr:colOff>161925</xdr:colOff>
      <xdr:row>31</xdr:row>
      <xdr:rowOff>15875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08C4CEF-D848-B436-95E1-83593FB16BF9}"/>
            </a:ext>
          </a:extLst>
        </xdr:cNvPr>
        <xdr:cNvSpPr/>
      </xdr:nvSpPr>
      <xdr:spPr>
        <a:xfrm>
          <a:off x="415925" y="5546725"/>
          <a:ext cx="1270000" cy="374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Start</a:t>
          </a:r>
        </a:p>
      </xdr:txBody>
    </xdr:sp>
    <xdr:clientData/>
  </xdr:twoCellAnchor>
  <xdr:twoCellAnchor>
    <xdr:from>
      <xdr:col>1</xdr:col>
      <xdr:colOff>737938</xdr:colOff>
      <xdr:row>28</xdr:row>
      <xdr:rowOff>46182</xdr:rowOff>
    </xdr:from>
    <xdr:to>
      <xdr:col>2</xdr:col>
      <xdr:colOff>738909</xdr:colOff>
      <xdr:row>29</xdr:row>
      <xdr:rowOff>75400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C3E34F9F-282C-B8CF-4CC5-B2C6FF9DC6C0}"/>
            </a:ext>
          </a:extLst>
        </xdr:cNvPr>
        <xdr:cNvCxnSpPr>
          <a:stCxn id="6" idx="7"/>
        </xdr:cNvCxnSpPr>
      </xdr:nvCxnSpPr>
      <xdr:spPr>
        <a:xfrm flipV="1">
          <a:off x="1499938" y="5253182"/>
          <a:ext cx="762971" cy="2139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128338</xdr:colOff>
      <xdr:row>30</xdr:row>
      <xdr:rowOff>43072</xdr:rowOff>
    </xdr:from>
    <xdr:to>
      <xdr:col>3</xdr:col>
      <xdr:colOff>103909</xdr:colOff>
      <xdr:row>34</xdr:row>
      <xdr:rowOff>127000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E0474525-AC30-490E-9027-52B638E32D59}"/>
            </a:ext>
          </a:extLst>
        </xdr:cNvPr>
        <xdr:cNvCxnSpPr/>
      </xdr:nvCxnSpPr>
      <xdr:spPr>
        <a:xfrm>
          <a:off x="1652338" y="5619527"/>
          <a:ext cx="737571" cy="8228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496455</xdr:colOff>
      <xdr:row>23</xdr:row>
      <xdr:rowOff>46182</xdr:rowOff>
    </xdr:from>
    <xdr:to>
      <xdr:col>6</xdr:col>
      <xdr:colOff>739880</xdr:colOff>
      <xdr:row>26</xdr:row>
      <xdr:rowOff>127000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AE887B46-666F-4D58-A70C-31E5500B6315}"/>
            </a:ext>
          </a:extLst>
        </xdr:cNvPr>
        <xdr:cNvCxnSpPr/>
      </xdr:nvCxnSpPr>
      <xdr:spPr>
        <a:xfrm flipV="1">
          <a:off x="4306455" y="4329546"/>
          <a:ext cx="1005425" cy="6349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34636</xdr:colOff>
      <xdr:row>23</xdr:row>
      <xdr:rowOff>46181</xdr:rowOff>
    </xdr:from>
    <xdr:to>
      <xdr:col>10</xdr:col>
      <xdr:colOff>739880</xdr:colOff>
      <xdr:row>25</xdr:row>
      <xdr:rowOff>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822AA77-ED7C-44A8-8805-B6C347B9FF83}"/>
            </a:ext>
          </a:extLst>
        </xdr:cNvPr>
        <xdr:cNvCxnSpPr/>
      </xdr:nvCxnSpPr>
      <xdr:spPr>
        <a:xfrm>
          <a:off x="7654636" y="4329545"/>
          <a:ext cx="705244" cy="3232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11545</xdr:colOff>
      <xdr:row>26</xdr:row>
      <xdr:rowOff>23091</xdr:rowOff>
    </xdr:from>
    <xdr:to>
      <xdr:col>14</xdr:col>
      <xdr:colOff>728335</xdr:colOff>
      <xdr:row>28</xdr:row>
      <xdr:rowOff>23091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F0869F55-0C72-4C6D-B8B3-94CB989CC21F}"/>
            </a:ext>
          </a:extLst>
        </xdr:cNvPr>
        <xdr:cNvCxnSpPr/>
      </xdr:nvCxnSpPr>
      <xdr:spPr>
        <a:xfrm>
          <a:off x="10679545" y="4860636"/>
          <a:ext cx="716790" cy="3694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11545</xdr:colOff>
      <xdr:row>36</xdr:row>
      <xdr:rowOff>0</xdr:rowOff>
    </xdr:from>
    <xdr:to>
      <xdr:col>10</xdr:col>
      <xdr:colOff>728335</xdr:colOff>
      <xdr:row>36</xdr:row>
      <xdr:rowOff>11545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162DEFF-9729-4A19-84D6-AA21E1E09623}"/>
            </a:ext>
          </a:extLst>
        </xdr:cNvPr>
        <xdr:cNvCxnSpPr/>
      </xdr:nvCxnSpPr>
      <xdr:spPr>
        <a:xfrm>
          <a:off x="4583545" y="6684818"/>
          <a:ext cx="3764790" cy="11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34636</xdr:colOff>
      <xdr:row>28</xdr:row>
      <xdr:rowOff>0</xdr:rowOff>
    </xdr:from>
    <xdr:to>
      <xdr:col>6</xdr:col>
      <xdr:colOff>716790</xdr:colOff>
      <xdr:row>31</xdr:row>
      <xdr:rowOff>173182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D8936CB-F162-49BA-A7DB-90F3C116CCEE}"/>
            </a:ext>
          </a:extLst>
        </xdr:cNvPr>
        <xdr:cNvCxnSpPr/>
      </xdr:nvCxnSpPr>
      <xdr:spPr>
        <a:xfrm>
          <a:off x="4606636" y="5207000"/>
          <a:ext cx="682154" cy="7273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11545</xdr:colOff>
      <xdr:row>32</xdr:row>
      <xdr:rowOff>34636</xdr:rowOff>
    </xdr:from>
    <xdr:to>
      <xdr:col>11</xdr:col>
      <xdr:colOff>58699</xdr:colOff>
      <xdr:row>34</xdr:row>
      <xdr:rowOff>127000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2F92F468-E272-431A-8CBE-D971CE23F84D}"/>
            </a:ext>
          </a:extLst>
        </xdr:cNvPr>
        <xdr:cNvCxnSpPr/>
      </xdr:nvCxnSpPr>
      <xdr:spPr>
        <a:xfrm>
          <a:off x="7631545" y="5980545"/>
          <a:ext cx="809154" cy="4618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750455</xdr:colOff>
      <xdr:row>29</xdr:row>
      <xdr:rowOff>57727</xdr:rowOff>
    </xdr:from>
    <xdr:to>
      <xdr:col>14</xdr:col>
      <xdr:colOff>728334</xdr:colOff>
      <xdr:row>35</xdr:row>
      <xdr:rowOff>173182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651C1AB3-C60E-4111-96A1-BF987F5BA35A}"/>
            </a:ext>
          </a:extLst>
        </xdr:cNvPr>
        <xdr:cNvCxnSpPr/>
      </xdr:nvCxnSpPr>
      <xdr:spPr>
        <a:xfrm flipV="1">
          <a:off x="10656455" y="5449454"/>
          <a:ext cx="739879" cy="12238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483755</xdr:colOff>
      <xdr:row>51</xdr:row>
      <xdr:rowOff>33482</xdr:rowOff>
    </xdr:from>
    <xdr:ext cx="2302682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AD40C8A3-985E-028C-CCF0-4705CB4C5A97}"/>
                </a:ext>
              </a:extLst>
            </xdr:cNvPr>
            <xdr:cNvSpPr txBox="1"/>
          </xdr:nvSpPr>
          <xdr:spPr>
            <a:xfrm>
              <a:off x="3531755" y="9313553"/>
              <a:ext cx="230268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𝑇𝑝𝑒𝑠𝑖𝑚𝑖𝑠𝑡𝑎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𝑇𝑖𝑒𝑚𝑝𝑜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𝑜𝑝𝑡𝑖𝑚𝑖𝑠𝑡𝑎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6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AD40C8A3-985E-028C-CCF0-4705CB4C5A97}"/>
                </a:ext>
              </a:extLst>
            </xdr:cNvPr>
            <xdr:cNvSpPr txBox="1"/>
          </xdr:nvSpPr>
          <xdr:spPr>
            <a:xfrm>
              <a:off x="3531755" y="9313553"/>
              <a:ext cx="230268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=(𝑇𝑝𝑒𝑠𝑖𝑚𝑖𝑠𝑡𝑎−𝑇𝑖𝑒𝑚𝑝𝑜 𝑜𝑝𝑡𝑖𝑚𝑖𝑠𝑡𝑎)/6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308428</xdr:colOff>
      <xdr:row>64</xdr:row>
      <xdr:rowOff>7257</xdr:rowOff>
    </xdr:from>
    <xdr:ext cx="1548693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3DEA7A81-312D-CB4B-8748-FAF2436C3F34}"/>
                </a:ext>
              </a:extLst>
            </xdr:cNvPr>
            <xdr:cNvSpPr txBox="1"/>
          </xdr:nvSpPr>
          <xdr:spPr>
            <a:xfrm>
              <a:off x="1070428" y="11887200"/>
              <a:ext cx="154869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sub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  <m:sup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  <m:sup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𝐺</m:t>
                            </m:r>
                          </m:sub>
                          <m:sup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3DEA7A81-312D-CB4B-8748-FAF2436C3F34}"/>
                </a:ext>
              </a:extLst>
            </xdr:cNvPr>
            <xdr:cNvSpPr txBox="1"/>
          </xdr:nvSpPr>
          <xdr:spPr>
            <a:xfrm>
              <a:off x="1070428" y="11887200"/>
              <a:ext cx="154869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=√(𝜎_𝐴^2+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322942</xdr:colOff>
      <xdr:row>68</xdr:row>
      <xdr:rowOff>3629</xdr:rowOff>
    </xdr:from>
    <xdr:ext cx="2763769" cy="2162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F2AB5A2E-1A92-4BB9-ABF0-1B666FCF4A69}"/>
                </a:ext>
              </a:extLst>
            </xdr:cNvPr>
            <xdr:cNvSpPr txBox="1"/>
          </xdr:nvSpPr>
          <xdr:spPr>
            <a:xfrm>
              <a:off x="1084942" y="12623800"/>
              <a:ext cx="2763769" cy="216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1.667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0.833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1.667</m:t>
                            </m:r>
                          </m:e>
                          <m:sup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  <m:sup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s-E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r>
                      <a:rPr lang="es-E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s-E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𝟔𝟗</m:t>
                    </m:r>
                  </m:oMath>
                </m:oMathPara>
              </a14:m>
              <a:endParaRPr lang="es-CO" sz="1100" b="1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F2AB5A2E-1A92-4BB9-ABF0-1B666FCF4A69}"/>
                </a:ext>
              </a:extLst>
            </xdr:cNvPr>
            <xdr:cNvSpPr txBox="1"/>
          </xdr:nvSpPr>
          <xdr:spPr>
            <a:xfrm>
              <a:off x="1084942" y="12623800"/>
              <a:ext cx="2763769" cy="2162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=√(〖1.667〗^2+〖0.833〗^2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+〖1.667〗^2+1^2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s-E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𝟐.𝟔𝟗</a:t>
              </a:r>
              <a:endParaRPr lang="es-CO" sz="1100" b="1"/>
            </a:p>
          </xdr:txBody>
        </xdr:sp>
      </mc:Fallback>
    </mc:AlternateContent>
    <xdr:clientData/>
  </xdr:oneCellAnchor>
  <xdr:oneCellAnchor>
    <xdr:from>
      <xdr:col>1</xdr:col>
      <xdr:colOff>111125</xdr:colOff>
      <xdr:row>73</xdr:row>
      <xdr:rowOff>85725</xdr:rowOff>
    </xdr:from>
    <xdr:ext cx="16210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82B2E3B-0DD1-FF2A-C1C7-DA6B98676717}"/>
                </a:ext>
              </a:extLst>
            </xdr:cNvPr>
            <xdr:cNvSpPr txBox="1"/>
          </xdr:nvSpPr>
          <xdr:spPr>
            <a:xfrm>
              <a:off x="873125" y="13560425"/>
              <a:ext cx="16210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𝑇𝐸𝑝𝑟𝑜𝑦𝑒𝑐𝑡𝑜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𝑍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es-CO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82B2E3B-0DD1-FF2A-C1C7-DA6B98676717}"/>
                </a:ext>
              </a:extLst>
            </xdr:cNvPr>
            <xdr:cNvSpPr txBox="1"/>
          </xdr:nvSpPr>
          <xdr:spPr>
            <a:xfrm>
              <a:off x="873125" y="13560425"/>
              <a:ext cx="16210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𝑇=𝑇𝐸𝑝𝑟𝑜𝑦𝑒𝑐𝑡𝑜+𝑍∗𝜎</a:t>
              </a:r>
              <a:endParaRPr lang="es-CO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257175</xdr:colOff>
      <xdr:row>79</xdr:row>
      <xdr:rowOff>22225</xdr:rowOff>
    </xdr:from>
    <xdr:ext cx="22655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F54133D-AD6E-6C0C-C6C3-E4E9B1A07C51}"/>
                </a:ext>
              </a:extLst>
            </xdr:cNvPr>
            <xdr:cNvSpPr txBox="1"/>
          </xdr:nvSpPr>
          <xdr:spPr>
            <a:xfrm>
              <a:off x="1019175" y="14601825"/>
              <a:ext cx="22655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=41.83+</m:t>
                    </m:r>
                    <m:d>
                      <m:d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1.88∗2.69</m:t>
                        </m:r>
                      </m:e>
                    </m:d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𝟒𝟔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𝟖𝟖</m:t>
                    </m:r>
                  </m:oMath>
                </m:oMathPara>
              </a14:m>
              <a:endParaRPr lang="es-CO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F54133D-AD6E-6C0C-C6C3-E4E9B1A07C51}"/>
                </a:ext>
              </a:extLst>
            </xdr:cNvPr>
            <xdr:cNvSpPr txBox="1"/>
          </xdr:nvSpPr>
          <xdr:spPr>
            <a:xfrm>
              <a:off x="1019175" y="14601825"/>
              <a:ext cx="22655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𝑇=41.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83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+(1.88∗2.69)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𝟒𝟔.𝟖𝟖</a:t>
              </a:r>
              <a:endParaRPr lang="es-CO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111125</xdr:colOff>
      <xdr:row>83</xdr:row>
      <xdr:rowOff>85725</xdr:rowOff>
    </xdr:from>
    <xdr:ext cx="162102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776BB04F-72F7-42D5-8D31-FAD1C4C535DA}"/>
                </a:ext>
              </a:extLst>
            </xdr:cNvPr>
            <xdr:cNvSpPr txBox="1"/>
          </xdr:nvSpPr>
          <xdr:spPr>
            <a:xfrm>
              <a:off x="873125" y="13560425"/>
              <a:ext cx="16210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𝑇𝐸𝑝𝑟𝑜𝑦𝑒𝑐𝑡𝑜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𝑍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es-CO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CO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776BB04F-72F7-42D5-8D31-FAD1C4C535DA}"/>
                </a:ext>
              </a:extLst>
            </xdr:cNvPr>
            <xdr:cNvSpPr txBox="1"/>
          </xdr:nvSpPr>
          <xdr:spPr>
            <a:xfrm>
              <a:off x="873125" y="13560425"/>
              <a:ext cx="162102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𝑇=𝑇𝐸𝑝𝑟𝑜𝑦𝑒𝑐𝑡𝑜+𝑍∗𝜎</a:t>
              </a:r>
              <a:endParaRPr lang="es-CO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257175</xdr:colOff>
      <xdr:row>89</xdr:row>
      <xdr:rowOff>22225</xdr:rowOff>
    </xdr:from>
    <xdr:ext cx="23436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A61318E5-4E1A-4FB5-AD29-BA8CB7478ABE}"/>
                </a:ext>
              </a:extLst>
            </xdr:cNvPr>
            <xdr:cNvSpPr txBox="1"/>
          </xdr:nvSpPr>
          <xdr:spPr>
            <a:xfrm>
              <a:off x="1019175" y="16443325"/>
              <a:ext cx="23436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=41.83+</m:t>
                    </m:r>
                    <m:d>
                      <m:d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1.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645</m:t>
                        </m:r>
                        <m: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∗2.69</m:t>
                        </m:r>
                      </m:e>
                    </m:d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𝟒𝟔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𝟐𝟓</m:t>
                    </m:r>
                  </m:oMath>
                </m:oMathPara>
              </a14:m>
              <a:endParaRPr lang="es-CO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A61318E5-4E1A-4FB5-AD29-BA8CB7478ABE}"/>
                </a:ext>
              </a:extLst>
            </xdr:cNvPr>
            <xdr:cNvSpPr txBox="1"/>
          </xdr:nvSpPr>
          <xdr:spPr>
            <a:xfrm>
              <a:off x="1019175" y="16443325"/>
              <a:ext cx="23436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𝑇=41.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83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+(1.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645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∗2.69)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𝟒𝟔.𝟐𝟓</a:t>
              </a:r>
              <a:endParaRPr lang="es-CO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281454</xdr:colOff>
      <xdr:row>10</xdr:row>
      <xdr:rowOff>186578</xdr:rowOff>
    </xdr:from>
    <xdr:to>
      <xdr:col>1</xdr:col>
      <xdr:colOff>310029</xdr:colOff>
      <xdr:row>12</xdr:row>
      <xdr:rowOff>180228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1F542C03-9A08-47B1-AF4A-56E61710034B}"/>
            </a:ext>
          </a:extLst>
        </xdr:cNvPr>
        <xdr:cNvSpPr/>
      </xdr:nvSpPr>
      <xdr:spPr>
        <a:xfrm>
          <a:off x="281454" y="2054225"/>
          <a:ext cx="790575" cy="36717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Start</a:t>
          </a:r>
        </a:p>
      </xdr:txBody>
    </xdr:sp>
    <xdr:clientData/>
  </xdr:twoCellAnchor>
  <xdr:twoCellAnchor>
    <xdr:from>
      <xdr:col>1</xdr:col>
      <xdr:colOff>310029</xdr:colOff>
      <xdr:row>11</xdr:row>
      <xdr:rowOff>183403</xdr:rowOff>
    </xdr:from>
    <xdr:to>
      <xdr:col>2</xdr:col>
      <xdr:colOff>0</xdr:colOff>
      <xdr:row>12</xdr:row>
      <xdr:rowOff>14942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602CB8A4-4107-FAD6-4950-8655AAC48F5B}"/>
            </a:ext>
          </a:extLst>
        </xdr:cNvPr>
        <xdr:cNvCxnSpPr>
          <a:stCxn id="6" idx="6"/>
        </xdr:cNvCxnSpPr>
      </xdr:nvCxnSpPr>
      <xdr:spPr>
        <a:xfrm>
          <a:off x="1072029" y="2237815"/>
          <a:ext cx="451971" cy="183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22412</xdr:colOff>
      <xdr:row>6</xdr:row>
      <xdr:rowOff>17930</xdr:rowOff>
    </xdr:from>
    <xdr:to>
      <xdr:col>5</xdr:col>
      <xdr:colOff>750048</xdr:colOff>
      <xdr:row>11</xdr:row>
      <xdr:rowOff>149412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8FF72725-E819-478C-8B51-F1E1A6490F05}"/>
            </a:ext>
          </a:extLst>
        </xdr:cNvPr>
        <xdr:cNvCxnSpPr/>
      </xdr:nvCxnSpPr>
      <xdr:spPr>
        <a:xfrm flipV="1">
          <a:off x="3832412" y="1138518"/>
          <a:ext cx="727636" cy="10653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22412</xdr:rowOff>
    </xdr:from>
    <xdr:to>
      <xdr:col>6</xdr:col>
      <xdr:colOff>3735</xdr:colOff>
      <xdr:row>12</xdr:row>
      <xdr:rowOff>25775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FF0F5AFB-5FB5-4497-96DF-76BE0CE4E419}"/>
            </a:ext>
          </a:extLst>
        </xdr:cNvPr>
        <xdr:cNvCxnSpPr/>
      </xdr:nvCxnSpPr>
      <xdr:spPr>
        <a:xfrm>
          <a:off x="3810000" y="2263588"/>
          <a:ext cx="765735" cy="33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22412</xdr:colOff>
      <xdr:row>12</xdr:row>
      <xdr:rowOff>44824</xdr:rowOff>
    </xdr:from>
    <xdr:to>
      <xdr:col>5</xdr:col>
      <xdr:colOff>758266</xdr:colOff>
      <xdr:row>16</xdr:row>
      <xdr:rowOff>145302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15620FBC-CD2F-4E6A-A208-2BAD6413847C}"/>
            </a:ext>
          </a:extLst>
        </xdr:cNvPr>
        <xdr:cNvCxnSpPr/>
      </xdr:nvCxnSpPr>
      <xdr:spPr>
        <a:xfrm>
          <a:off x="3832412" y="2286000"/>
          <a:ext cx="735854" cy="8475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14941</xdr:colOff>
      <xdr:row>5</xdr:row>
      <xdr:rowOff>152773</xdr:rowOff>
    </xdr:from>
    <xdr:to>
      <xdr:col>9</xdr:col>
      <xdr:colOff>713442</xdr:colOff>
      <xdr:row>5</xdr:row>
      <xdr:rowOff>164352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203CE85A-22C6-4E1E-9FEC-2B6B045321C4}"/>
            </a:ext>
          </a:extLst>
        </xdr:cNvPr>
        <xdr:cNvCxnSpPr/>
      </xdr:nvCxnSpPr>
      <xdr:spPr>
        <a:xfrm flipV="1">
          <a:off x="6872941" y="1086597"/>
          <a:ext cx="698501" cy="115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22412</xdr:colOff>
      <xdr:row>6</xdr:row>
      <xdr:rowOff>22412</xdr:rowOff>
    </xdr:from>
    <xdr:to>
      <xdr:col>13</xdr:col>
      <xdr:colOff>743324</xdr:colOff>
      <xdr:row>8</xdr:row>
      <xdr:rowOff>18303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90575E68-CFD3-48B2-88FC-B5DDD50EF4DC}"/>
            </a:ext>
          </a:extLst>
        </xdr:cNvPr>
        <xdr:cNvCxnSpPr/>
      </xdr:nvCxnSpPr>
      <xdr:spPr>
        <a:xfrm>
          <a:off x="9928412" y="1143000"/>
          <a:ext cx="720912" cy="3694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7471</xdr:colOff>
      <xdr:row>8</xdr:row>
      <xdr:rowOff>0</xdr:rowOff>
    </xdr:from>
    <xdr:to>
      <xdr:col>17</xdr:col>
      <xdr:colOff>735853</xdr:colOff>
      <xdr:row>12</xdr:row>
      <xdr:rowOff>145303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4C7EAE32-79FF-43E7-9F54-47ECEB9FD5DC}"/>
            </a:ext>
          </a:extLst>
        </xdr:cNvPr>
        <xdr:cNvCxnSpPr/>
      </xdr:nvCxnSpPr>
      <xdr:spPr>
        <a:xfrm>
          <a:off x="12961471" y="1494118"/>
          <a:ext cx="728382" cy="8923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22412</xdr:colOff>
      <xdr:row>11</xdr:row>
      <xdr:rowOff>164353</xdr:rowOff>
    </xdr:from>
    <xdr:to>
      <xdr:col>9</xdr:col>
      <xdr:colOff>750795</xdr:colOff>
      <xdr:row>11</xdr:row>
      <xdr:rowOff>182656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2AF5A461-D366-4870-8E70-0250170E21C9}"/>
            </a:ext>
          </a:extLst>
        </xdr:cNvPr>
        <xdr:cNvCxnSpPr/>
      </xdr:nvCxnSpPr>
      <xdr:spPr>
        <a:xfrm>
          <a:off x="6880412" y="2218765"/>
          <a:ext cx="728383" cy="183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14941</xdr:colOff>
      <xdr:row>8</xdr:row>
      <xdr:rowOff>78068</xdr:rowOff>
    </xdr:from>
    <xdr:to>
      <xdr:col>13</xdr:col>
      <xdr:colOff>735853</xdr:colOff>
      <xdr:row>11</xdr:row>
      <xdr:rowOff>171823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FADF8FD3-5377-42EE-B16F-EB7CA9C2E8D3}"/>
            </a:ext>
          </a:extLst>
        </xdr:cNvPr>
        <xdr:cNvCxnSpPr/>
      </xdr:nvCxnSpPr>
      <xdr:spPr>
        <a:xfrm flipV="1">
          <a:off x="9920941" y="1572186"/>
          <a:ext cx="720912" cy="6540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14941</xdr:colOff>
      <xdr:row>17</xdr:row>
      <xdr:rowOff>18303</xdr:rowOff>
    </xdr:from>
    <xdr:to>
      <xdr:col>12</xdr:col>
      <xdr:colOff>720912</xdr:colOff>
      <xdr:row>18</xdr:row>
      <xdr:rowOff>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63D7D4CE-F540-4279-A59D-C790CAFC88A3}"/>
            </a:ext>
          </a:extLst>
        </xdr:cNvPr>
        <xdr:cNvCxnSpPr/>
      </xdr:nvCxnSpPr>
      <xdr:spPr>
        <a:xfrm flipV="1">
          <a:off x="6872941" y="3193303"/>
          <a:ext cx="2991971" cy="1684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7471</xdr:colOff>
      <xdr:row>13</xdr:row>
      <xdr:rowOff>25774</xdr:rowOff>
    </xdr:from>
    <xdr:to>
      <xdr:col>17</xdr:col>
      <xdr:colOff>743324</xdr:colOff>
      <xdr:row>17</xdr:row>
      <xdr:rowOff>14941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FEAF6659-58C4-410A-BA19-081583FCA567}"/>
            </a:ext>
          </a:extLst>
        </xdr:cNvPr>
        <xdr:cNvCxnSpPr/>
      </xdr:nvCxnSpPr>
      <xdr:spPr>
        <a:xfrm flipV="1">
          <a:off x="12199471" y="2453715"/>
          <a:ext cx="1497853" cy="7362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149039</xdr:rowOff>
    </xdr:from>
    <xdr:to>
      <xdr:col>9</xdr:col>
      <xdr:colOff>760399</xdr:colOff>
      <xdr:row>17</xdr:row>
      <xdr:rowOff>99785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209C4762-0DEF-406C-9C2C-F168B42EEB72}"/>
            </a:ext>
          </a:extLst>
        </xdr:cNvPr>
        <xdr:cNvCxnSpPr/>
      </xdr:nvCxnSpPr>
      <xdr:spPr>
        <a:xfrm flipV="1">
          <a:off x="6858000" y="2326182"/>
          <a:ext cx="760399" cy="8578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281454</xdr:colOff>
      <xdr:row>43</xdr:row>
      <xdr:rowOff>186578</xdr:rowOff>
    </xdr:from>
    <xdr:to>
      <xdr:col>1</xdr:col>
      <xdr:colOff>310029</xdr:colOff>
      <xdr:row>45</xdr:row>
      <xdr:rowOff>180228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F6865714-EA9C-4ACD-90B8-6772D4407046}"/>
            </a:ext>
          </a:extLst>
        </xdr:cNvPr>
        <xdr:cNvSpPr/>
      </xdr:nvSpPr>
      <xdr:spPr>
        <a:xfrm>
          <a:off x="281454" y="2000864"/>
          <a:ext cx="790575" cy="36557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Start</a:t>
          </a:r>
        </a:p>
      </xdr:txBody>
    </xdr:sp>
    <xdr:clientData/>
  </xdr:twoCellAnchor>
  <xdr:twoCellAnchor>
    <xdr:from>
      <xdr:col>1</xdr:col>
      <xdr:colOff>310029</xdr:colOff>
      <xdr:row>44</xdr:row>
      <xdr:rowOff>183403</xdr:rowOff>
    </xdr:from>
    <xdr:to>
      <xdr:col>2</xdr:col>
      <xdr:colOff>0</xdr:colOff>
      <xdr:row>45</xdr:row>
      <xdr:rowOff>14942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8D89E580-87DF-4EF2-AD73-C8F04CB8486B}"/>
            </a:ext>
          </a:extLst>
        </xdr:cNvPr>
        <xdr:cNvCxnSpPr>
          <a:stCxn id="35" idx="6"/>
        </xdr:cNvCxnSpPr>
      </xdr:nvCxnSpPr>
      <xdr:spPr>
        <a:xfrm>
          <a:off x="1072029" y="2179117"/>
          <a:ext cx="451971" cy="220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22412</xdr:colOff>
      <xdr:row>39</xdr:row>
      <xdr:rowOff>17930</xdr:rowOff>
    </xdr:from>
    <xdr:to>
      <xdr:col>5</xdr:col>
      <xdr:colOff>750048</xdr:colOff>
      <xdr:row>44</xdr:row>
      <xdr:rowOff>149412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34ECB098-DB7B-44A7-AD00-97DA5B514448}"/>
            </a:ext>
          </a:extLst>
        </xdr:cNvPr>
        <xdr:cNvCxnSpPr/>
      </xdr:nvCxnSpPr>
      <xdr:spPr>
        <a:xfrm flipV="1">
          <a:off x="3832412" y="1106501"/>
          <a:ext cx="727636" cy="103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22412</xdr:rowOff>
    </xdr:from>
    <xdr:to>
      <xdr:col>6</xdr:col>
      <xdr:colOff>3735</xdr:colOff>
      <xdr:row>45</xdr:row>
      <xdr:rowOff>25775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0B11D5D7-040C-49F0-9743-9E975C660405}"/>
            </a:ext>
          </a:extLst>
        </xdr:cNvPr>
        <xdr:cNvCxnSpPr/>
      </xdr:nvCxnSpPr>
      <xdr:spPr>
        <a:xfrm>
          <a:off x="3810000" y="2208626"/>
          <a:ext cx="765735" cy="33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22412</xdr:colOff>
      <xdr:row>45</xdr:row>
      <xdr:rowOff>44824</xdr:rowOff>
    </xdr:from>
    <xdr:to>
      <xdr:col>5</xdr:col>
      <xdr:colOff>758266</xdr:colOff>
      <xdr:row>49</xdr:row>
      <xdr:rowOff>145302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8F6706F8-807E-415F-AF09-8311828E3396}"/>
            </a:ext>
          </a:extLst>
        </xdr:cNvPr>
        <xdr:cNvCxnSpPr/>
      </xdr:nvCxnSpPr>
      <xdr:spPr>
        <a:xfrm>
          <a:off x="3832412" y="2231038"/>
          <a:ext cx="735854" cy="8352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14941</xdr:colOff>
      <xdr:row>38</xdr:row>
      <xdr:rowOff>152773</xdr:rowOff>
    </xdr:from>
    <xdr:to>
      <xdr:col>9</xdr:col>
      <xdr:colOff>713442</xdr:colOff>
      <xdr:row>38</xdr:row>
      <xdr:rowOff>164352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45AB91A5-5C9F-487F-8877-0E1817B3B3EA}"/>
            </a:ext>
          </a:extLst>
        </xdr:cNvPr>
        <xdr:cNvCxnSpPr/>
      </xdr:nvCxnSpPr>
      <xdr:spPr>
        <a:xfrm flipV="1">
          <a:off x="6872941" y="1059916"/>
          <a:ext cx="698501" cy="115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22412</xdr:colOff>
      <xdr:row>39</xdr:row>
      <xdr:rowOff>22412</xdr:rowOff>
    </xdr:from>
    <xdr:to>
      <xdr:col>13</xdr:col>
      <xdr:colOff>743324</xdr:colOff>
      <xdr:row>41</xdr:row>
      <xdr:rowOff>18303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C12A3C21-D656-4331-85C8-1769F5992CA3}"/>
            </a:ext>
          </a:extLst>
        </xdr:cNvPr>
        <xdr:cNvCxnSpPr/>
      </xdr:nvCxnSpPr>
      <xdr:spPr>
        <a:xfrm>
          <a:off x="9928412" y="1110983"/>
          <a:ext cx="720912" cy="3587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7471</xdr:colOff>
      <xdr:row>41</xdr:row>
      <xdr:rowOff>0</xdr:rowOff>
    </xdr:from>
    <xdr:to>
      <xdr:col>17</xdr:col>
      <xdr:colOff>735853</xdr:colOff>
      <xdr:row>45</xdr:row>
      <xdr:rowOff>145303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65875D45-03D5-4171-983E-4EDC867C77CE}"/>
            </a:ext>
          </a:extLst>
        </xdr:cNvPr>
        <xdr:cNvCxnSpPr/>
      </xdr:nvCxnSpPr>
      <xdr:spPr>
        <a:xfrm>
          <a:off x="12961471" y="1451429"/>
          <a:ext cx="728382" cy="8800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22412</xdr:colOff>
      <xdr:row>44</xdr:row>
      <xdr:rowOff>164353</xdr:rowOff>
    </xdr:from>
    <xdr:to>
      <xdr:col>9</xdr:col>
      <xdr:colOff>750795</xdr:colOff>
      <xdr:row>44</xdr:row>
      <xdr:rowOff>182656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83A4EF5D-9307-4927-8CEB-35BDCF140AC5}"/>
            </a:ext>
          </a:extLst>
        </xdr:cNvPr>
        <xdr:cNvCxnSpPr/>
      </xdr:nvCxnSpPr>
      <xdr:spPr>
        <a:xfrm>
          <a:off x="6880412" y="2160067"/>
          <a:ext cx="728383" cy="183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14941</xdr:colOff>
      <xdr:row>41</xdr:row>
      <xdr:rowOff>78068</xdr:rowOff>
    </xdr:from>
    <xdr:to>
      <xdr:col>13</xdr:col>
      <xdr:colOff>735853</xdr:colOff>
      <xdr:row>44</xdr:row>
      <xdr:rowOff>171823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A5E3C2B9-C9D2-4E9F-B240-9D2137A7D3E3}"/>
            </a:ext>
          </a:extLst>
        </xdr:cNvPr>
        <xdr:cNvCxnSpPr/>
      </xdr:nvCxnSpPr>
      <xdr:spPr>
        <a:xfrm flipV="1">
          <a:off x="9920941" y="1529497"/>
          <a:ext cx="720912" cy="6380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14941</xdr:colOff>
      <xdr:row>50</xdr:row>
      <xdr:rowOff>18303</xdr:rowOff>
    </xdr:from>
    <xdr:to>
      <xdr:col>12</xdr:col>
      <xdr:colOff>720912</xdr:colOff>
      <xdr:row>51</xdr:row>
      <xdr:rowOff>0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56C00342-B492-415B-8956-96E567F7962C}"/>
            </a:ext>
          </a:extLst>
        </xdr:cNvPr>
        <xdr:cNvCxnSpPr/>
      </xdr:nvCxnSpPr>
      <xdr:spPr>
        <a:xfrm flipV="1">
          <a:off x="6872941" y="3120732"/>
          <a:ext cx="2991971" cy="163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7471</xdr:colOff>
      <xdr:row>46</xdr:row>
      <xdr:rowOff>25774</xdr:rowOff>
    </xdr:from>
    <xdr:to>
      <xdr:col>17</xdr:col>
      <xdr:colOff>743324</xdr:colOff>
      <xdr:row>50</xdr:row>
      <xdr:rowOff>14941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F95453AA-F25F-413C-9466-91A90F340EAF}"/>
            </a:ext>
          </a:extLst>
        </xdr:cNvPr>
        <xdr:cNvCxnSpPr/>
      </xdr:nvCxnSpPr>
      <xdr:spPr>
        <a:xfrm flipV="1">
          <a:off x="12199471" y="2393417"/>
          <a:ext cx="1497853" cy="7239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45</xdr:row>
      <xdr:rowOff>149039</xdr:rowOff>
    </xdr:from>
    <xdr:to>
      <xdr:col>9</xdr:col>
      <xdr:colOff>760399</xdr:colOff>
      <xdr:row>50</xdr:row>
      <xdr:rowOff>99785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51699575-0273-4A44-BC09-F6142287A46D}"/>
            </a:ext>
          </a:extLst>
        </xdr:cNvPr>
        <xdr:cNvCxnSpPr/>
      </xdr:nvCxnSpPr>
      <xdr:spPr>
        <a:xfrm flipV="1">
          <a:off x="6858000" y="2335253"/>
          <a:ext cx="760399" cy="8669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281454</xdr:colOff>
      <xdr:row>11</xdr:row>
      <xdr:rowOff>186578</xdr:rowOff>
    </xdr:from>
    <xdr:to>
      <xdr:col>2</xdr:col>
      <xdr:colOff>310029</xdr:colOff>
      <xdr:row>13</xdr:row>
      <xdr:rowOff>180228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BE424E3F-EC17-4D67-8993-5BE5CE7FD6A6}"/>
            </a:ext>
          </a:extLst>
        </xdr:cNvPr>
        <xdr:cNvSpPr/>
      </xdr:nvSpPr>
      <xdr:spPr>
        <a:xfrm>
          <a:off x="281454" y="8130428"/>
          <a:ext cx="790575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Start</a:t>
          </a:r>
        </a:p>
      </xdr:txBody>
    </xdr:sp>
    <xdr:clientData/>
  </xdr:twoCellAnchor>
  <xdr:twoCellAnchor>
    <xdr:from>
      <xdr:col>2</xdr:col>
      <xdr:colOff>310029</xdr:colOff>
      <xdr:row>12</xdr:row>
      <xdr:rowOff>183403</xdr:rowOff>
    </xdr:from>
    <xdr:to>
      <xdr:col>3</xdr:col>
      <xdr:colOff>0</xdr:colOff>
      <xdr:row>13</xdr:row>
      <xdr:rowOff>14942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B90DDF6-B983-49ED-8689-C425793D556E}"/>
            </a:ext>
          </a:extLst>
        </xdr:cNvPr>
        <xdr:cNvCxnSpPr>
          <a:stCxn id="10" idx="6"/>
        </xdr:cNvCxnSpPr>
      </xdr:nvCxnSpPr>
      <xdr:spPr>
        <a:xfrm>
          <a:off x="1072029" y="8311403"/>
          <a:ext cx="451971" cy="220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11545</xdr:colOff>
      <xdr:row>8</xdr:row>
      <xdr:rowOff>27812</xdr:rowOff>
    </xdr:from>
    <xdr:to>
      <xdr:col>6</xdr:col>
      <xdr:colOff>729062</xdr:colOff>
      <xdr:row>12</xdr:row>
      <xdr:rowOff>173182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F7AF361E-0C05-4DBB-BF9F-4EC87E77118F}"/>
            </a:ext>
          </a:extLst>
        </xdr:cNvPr>
        <xdr:cNvCxnSpPr/>
      </xdr:nvCxnSpPr>
      <xdr:spPr>
        <a:xfrm flipV="1">
          <a:off x="4583545" y="1505630"/>
          <a:ext cx="717517" cy="884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161637</xdr:rowOff>
    </xdr:from>
    <xdr:to>
      <xdr:col>6</xdr:col>
      <xdr:colOff>740608</xdr:colOff>
      <xdr:row>15</xdr:row>
      <xdr:rowOff>16266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A7117652-BB32-4788-A43D-15E17C653983}"/>
            </a:ext>
          </a:extLst>
        </xdr:cNvPr>
        <xdr:cNvCxnSpPr/>
      </xdr:nvCxnSpPr>
      <xdr:spPr>
        <a:xfrm>
          <a:off x="4572000" y="2378364"/>
          <a:ext cx="740608" cy="4088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738909</xdr:colOff>
      <xdr:row>7</xdr:row>
      <xdr:rowOff>173182</xdr:rowOff>
    </xdr:from>
    <xdr:to>
      <xdr:col>10</xdr:col>
      <xdr:colOff>740608</xdr:colOff>
      <xdr:row>8</xdr:row>
      <xdr:rowOff>4723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AD3C7C8A-FD0D-40C1-AC84-EA28F4766153}"/>
            </a:ext>
          </a:extLst>
        </xdr:cNvPr>
        <xdr:cNvCxnSpPr/>
      </xdr:nvCxnSpPr>
      <xdr:spPr>
        <a:xfrm>
          <a:off x="7596909" y="1466273"/>
          <a:ext cx="763699" cy="162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2309</xdr:colOff>
      <xdr:row>8</xdr:row>
      <xdr:rowOff>80818</xdr:rowOff>
    </xdr:from>
    <xdr:to>
      <xdr:col>10</xdr:col>
      <xdr:colOff>692727</xdr:colOff>
      <xdr:row>15</xdr:row>
      <xdr:rowOff>13855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59F811BA-60E8-4898-BEA7-6AD56064E5FB}"/>
            </a:ext>
          </a:extLst>
        </xdr:cNvPr>
        <xdr:cNvCxnSpPr/>
      </xdr:nvCxnSpPr>
      <xdr:spPr>
        <a:xfrm flipV="1">
          <a:off x="7622309" y="1558636"/>
          <a:ext cx="690418" cy="12261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46182</xdr:colOff>
      <xdr:row>15</xdr:row>
      <xdr:rowOff>11546</xdr:rowOff>
    </xdr:from>
    <xdr:to>
      <xdr:col>11</xdr:col>
      <xdr:colOff>727364</xdr:colOff>
      <xdr:row>15</xdr:row>
      <xdr:rowOff>23091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540A6D95-1AEB-42F8-ADC3-78AFF200139E}"/>
            </a:ext>
          </a:extLst>
        </xdr:cNvPr>
        <xdr:cNvCxnSpPr/>
      </xdr:nvCxnSpPr>
      <xdr:spPr>
        <a:xfrm flipV="1">
          <a:off x="7666182" y="2782455"/>
          <a:ext cx="1443182" cy="11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11545</xdr:colOff>
      <xdr:row>8</xdr:row>
      <xdr:rowOff>57727</xdr:rowOff>
    </xdr:from>
    <xdr:to>
      <xdr:col>11</xdr:col>
      <xdr:colOff>715818</xdr:colOff>
      <xdr:row>14</xdr:row>
      <xdr:rowOff>57727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A32C4695-FFFF-47FC-ADF5-87E6EA02AF0D}"/>
            </a:ext>
          </a:extLst>
        </xdr:cNvPr>
        <xdr:cNvCxnSpPr/>
      </xdr:nvCxnSpPr>
      <xdr:spPr>
        <a:xfrm>
          <a:off x="7631545" y="1535545"/>
          <a:ext cx="1466273" cy="11083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11545</xdr:colOff>
      <xdr:row>7</xdr:row>
      <xdr:rowOff>50904</xdr:rowOff>
    </xdr:from>
    <xdr:to>
      <xdr:col>16</xdr:col>
      <xdr:colOff>740608</xdr:colOff>
      <xdr:row>7</xdr:row>
      <xdr:rowOff>150091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9BA33C2E-16E4-46CC-B437-7E8D737B7658}"/>
            </a:ext>
          </a:extLst>
        </xdr:cNvPr>
        <xdr:cNvCxnSpPr/>
      </xdr:nvCxnSpPr>
      <xdr:spPr>
        <a:xfrm flipV="1">
          <a:off x="10679545" y="1343995"/>
          <a:ext cx="2253063" cy="99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34636</xdr:colOff>
      <xdr:row>12</xdr:row>
      <xdr:rowOff>4723</xdr:rowOff>
    </xdr:from>
    <xdr:to>
      <xdr:col>15</xdr:col>
      <xdr:colOff>740608</xdr:colOff>
      <xdr:row>14</xdr:row>
      <xdr:rowOff>161636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58A69184-08D4-4982-8FF1-863D1A4D5EA5}"/>
            </a:ext>
          </a:extLst>
        </xdr:cNvPr>
        <xdr:cNvCxnSpPr/>
      </xdr:nvCxnSpPr>
      <xdr:spPr>
        <a:xfrm flipV="1">
          <a:off x="11464636" y="2221450"/>
          <a:ext cx="705972" cy="5263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427182</xdr:colOff>
      <xdr:row>7</xdr:row>
      <xdr:rowOff>177904</xdr:rowOff>
    </xdr:from>
    <xdr:to>
      <xdr:col>16</xdr:col>
      <xdr:colOff>729063</xdr:colOff>
      <xdr:row>10</xdr:row>
      <xdr:rowOff>150091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CC690EEC-2591-4145-9B18-1FEF2827014A}"/>
            </a:ext>
          </a:extLst>
        </xdr:cNvPr>
        <xdr:cNvCxnSpPr/>
      </xdr:nvCxnSpPr>
      <xdr:spPr>
        <a:xfrm flipV="1">
          <a:off x="12619182" y="1470995"/>
          <a:ext cx="301881" cy="5263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23091</xdr:colOff>
      <xdr:row>6</xdr:row>
      <xdr:rowOff>150091</xdr:rowOff>
    </xdr:from>
    <xdr:to>
      <xdr:col>20</xdr:col>
      <xdr:colOff>729063</xdr:colOff>
      <xdr:row>11</xdr:row>
      <xdr:rowOff>4722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5A72F46E-47AF-4635-8EA5-3F38B2662D53}"/>
            </a:ext>
          </a:extLst>
        </xdr:cNvPr>
        <xdr:cNvCxnSpPr/>
      </xdr:nvCxnSpPr>
      <xdr:spPr>
        <a:xfrm>
          <a:off x="15263091" y="1258455"/>
          <a:ext cx="705972" cy="7782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101600</xdr:rowOff>
    </xdr:from>
    <xdr:to>
      <xdr:col>1</xdr:col>
      <xdr:colOff>685800</xdr:colOff>
      <xdr:row>19</xdr:row>
      <xdr:rowOff>114300</xdr:rowOff>
    </xdr:to>
    <xdr:sp macro="" textlink="">
      <xdr:nvSpPr>
        <xdr:cNvPr id="8" name="Abrir llave 7">
          <a:extLst>
            <a:ext uri="{FF2B5EF4-FFF2-40B4-BE49-F238E27FC236}">
              <a16:creationId xmlns:a16="http://schemas.microsoft.com/office/drawing/2014/main" id="{58D2B1CF-F904-4DDD-2573-16E69D9A3D76}"/>
            </a:ext>
          </a:extLst>
        </xdr:cNvPr>
        <xdr:cNvSpPr/>
      </xdr:nvSpPr>
      <xdr:spPr>
        <a:xfrm>
          <a:off x="819150" y="469900"/>
          <a:ext cx="628650" cy="2590800"/>
        </a:xfrm>
        <a:prstGeom prst="leftBrac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273050</xdr:colOff>
      <xdr:row>4</xdr:row>
      <xdr:rowOff>76200</xdr:rowOff>
    </xdr:from>
    <xdr:to>
      <xdr:col>6</xdr:col>
      <xdr:colOff>723900</xdr:colOff>
      <xdr:row>6</xdr:row>
      <xdr:rowOff>146050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5E30658C-2CC3-7C20-2FF8-297587F3E86A}"/>
            </a:ext>
          </a:extLst>
        </xdr:cNvPr>
        <xdr:cNvSpPr/>
      </xdr:nvSpPr>
      <xdr:spPr>
        <a:xfrm>
          <a:off x="4845050" y="26035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203200</xdr:colOff>
      <xdr:row>11</xdr:row>
      <xdr:rowOff>82550</xdr:rowOff>
    </xdr:from>
    <xdr:to>
      <xdr:col>6</xdr:col>
      <xdr:colOff>654050</xdr:colOff>
      <xdr:row>13</xdr:row>
      <xdr:rowOff>152400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BF0B2339-6453-4194-BBDB-DE05ACB454E0}"/>
            </a:ext>
          </a:extLst>
        </xdr:cNvPr>
        <xdr:cNvSpPr/>
      </xdr:nvSpPr>
      <xdr:spPr>
        <a:xfrm>
          <a:off x="4775200" y="155575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196850</xdr:colOff>
      <xdr:row>18</xdr:row>
      <xdr:rowOff>69850</xdr:rowOff>
    </xdr:from>
    <xdr:to>
      <xdr:col>6</xdr:col>
      <xdr:colOff>647700</xdr:colOff>
      <xdr:row>20</xdr:row>
      <xdr:rowOff>139700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C0C924A7-BE64-4719-BB10-623C9D007189}"/>
            </a:ext>
          </a:extLst>
        </xdr:cNvPr>
        <xdr:cNvSpPr/>
      </xdr:nvSpPr>
      <xdr:spPr>
        <a:xfrm>
          <a:off x="4768850" y="283210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</xdr:col>
      <xdr:colOff>244475</xdr:colOff>
      <xdr:row>27</xdr:row>
      <xdr:rowOff>79375</xdr:rowOff>
    </xdr:from>
    <xdr:ext cx="29215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4AF2175-994E-DEA7-F3D3-F6DDA04C663A}"/>
                </a:ext>
              </a:extLst>
            </xdr:cNvPr>
            <xdr:cNvSpPr txBox="1"/>
          </xdr:nvSpPr>
          <xdr:spPr>
            <a:xfrm>
              <a:off x="1006475" y="5051425"/>
              <a:ext cx="29215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100∗30%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50∗50%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100∗20%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=35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4AF2175-994E-DEA7-F3D3-F6DDA04C663A}"/>
                </a:ext>
              </a:extLst>
            </xdr:cNvPr>
            <xdr:cNvSpPr txBox="1"/>
          </xdr:nvSpPr>
          <xdr:spPr>
            <a:xfrm>
              <a:off x="1006475" y="5051425"/>
              <a:ext cx="29215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(100∗30%)+(50∗50%)−(100∗20%)=35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260350</xdr:colOff>
      <xdr:row>29</xdr:row>
      <xdr:rowOff>107950</xdr:rowOff>
    </xdr:from>
    <xdr:ext cx="26091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AA4DDC4-C518-46D0-A548-198924FD287B}"/>
                </a:ext>
              </a:extLst>
            </xdr:cNvPr>
            <xdr:cNvSpPr txBox="1"/>
          </xdr:nvSpPr>
          <xdr:spPr>
            <a:xfrm>
              <a:off x="1022350" y="5448300"/>
              <a:ext cx="26091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10∗30%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10∗20%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AA4DDC4-C518-46D0-A548-198924FD287B}"/>
                </a:ext>
              </a:extLst>
            </xdr:cNvPr>
            <xdr:cNvSpPr txBox="1"/>
          </xdr:nvSpPr>
          <xdr:spPr>
            <a:xfrm>
              <a:off x="1022350" y="5448300"/>
              <a:ext cx="26091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(10∗30%)+(0∗50%)−(10∗20%)=1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336550</xdr:colOff>
      <xdr:row>31</xdr:row>
      <xdr:rowOff>82550</xdr:rowOff>
    </xdr:from>
    <xdr:ext cx="27653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06DD474-608C-47AF-A91E-316D6EFE4A5F}"/>
                </a:ext>
              </a:extLst>
            </xdr:cNvPr>
            <xdr:cNvSpPr txBox="1"/>
          </xdr:nvSpPr>
          <xdr:spPr>
            <a:xfrm>
              <a:off x="1098550" y="5791200"/>
              <a:ext cx="27653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40∗30%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40∗20%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=14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06DD474-608C-47AF-A91E-316D6EFE4A5F}"/>
                </a:ext>
              </a:extLst>
            </xdr:cNvPr>
            <xdr:cNvSpPr txBox="1"/>
          </xdr:nvSpPr>
          <xdr:spPr>
            <a:xfrm>
              <a:off x="1098550" y="5791200"/>
              <a:ext cx="27653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(40∗30%)+(20∗50%)−(40∗20%)=14</a:t>
              </a:r>
              <a:endParaRPr lang="es-CO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101600</xdr:rowOff>
    </xdr:from>
    <xdr:to>
      <xdr:col>1</xdr:col>
      <xdr:colOff>685800</xdr:colOff>
      <xdr:row>20</xdr:row>
      <xdr:rowOff>114300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BC521C20-5168-418D-8149-84C0CFA18BB5}"/>
            </a:ext>
          </a:extLst>
        </xdr:cNvPr>
        <xdr:cNvSpPr/>
      </xdr:nvSpPr>
      <xdr:spPr>
        <a:xfrm>
          <a:off x="819150" y="1022350"/>
          <a:ext cx="628650" cy="2590800"/>
        </a:xfrm>
        <a:prstGeom prst="leftBrac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273050</xdr:colOff>
      <xdr:row>5</xdr:row>
      <xdr:rowOff>76200</xdr:rowOff>
    </xdr:from>
    <xdr:to>
      <xdr:col>6</xdr:col>
      <xdr:colOff>723900</xdr:colOff>
      <xdr:row>7</xdr:row>
      <xdr:rowOff>146050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4656962F-B55B-465D-9453-C3419B21B62A}"/>
            </a:ext>
          </a:extLst>
        </xdr:cNvPr>
        <xdr:cNvSpPr/>
      </xdr:nvSpPr>
      <xdr:spPr>
        <a:xfrm>
          <a:off x="4845050" y="81280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203200</xdr:colOff>
      <xdr:row>12</xdr:row>
      <xdr:rowOff>82550</xdr:rowOff>
    </xdr:from>
    <xdr:to>
      <xdr:col>6</xdr:col>
      <xdr:colOff>654050</xdr:colOff>
      <xdr:row>14</xdr:row>
      <xdr:rowOff>152400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24F9C242-DD89-4525-9C52-E81A8958D89A}"/>
            </a:ext>
          </a:extLst>
        </xdr:cNvPr>
        <xdr:cNvSpPr/>
      </xdr:nvSpPr>
      <xdr:spPr>
        <a:xfrm>
          <a:off x="4775200" y="210820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196850</xdr:colOff>
      <xdr:row>19</xdr:row>
      <xdr:rowOff>69850</xdr:rowOff>
    </xdr:from>
    <xdr:to>
      <xdr:col>6</xdr:col>
      <xdr:colOff>647700</xdr:colOff>
      <xdr:row>21</xdr:row>
      <xdr:rowOff>139700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118E69B3-5C61-423B-AEA5-842597A7E115}"/>
            </a:ext>
          </a:extLst>
        </xdr:cNvPr>
        <xdr:cNvSpPr/>
      </xdr:nvSpPr>
      <xdr:spPr>
        <a:xfrm>
          <a:off x="4768850" y="3384550"/>
          <a:ext cx="450850" cy="4381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</xdr:col>
      <xdr:colOff>244475</xdr:colOff>
      <xdr:row>28</xdr:row>
      <xdr:rowOff>79375</xdr:rowOff>
    </xdr:from>
    <xdr:ext cx="47148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8A371F9D-09EF-4AC0-A549-0846E71A25F6}"/>
                </a:ext>
              </a:extLst>
            </xdr:cNvPr>
            <xdr:cNvSpPr txBox="1"/>
          </xdr:nvSpPr>
          <xdr:spPr>
            <a:xfrm>
              <a:off x="1081181" y="5308787"/>
              <a:ext cx="47148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30.000.000∗10%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5.000.000∗50%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10.000.000∗40%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=1.500.000</m:t>
                    </m:r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8A371F9D-09EF-4AC0-A549-0846E71A25F6}"/>
                </a:ext>
              </a:extLst>
            </xdr:cNvPr>
            <xdr:cNvSpPr txBox="1"/>
          </xdr:nvSpPr>
          <xdr:spPr>
            <a:xfrm>
              <a:off x="1081181" y="5308787"/>
              <a:ext cx="47148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(30.000.000∗10%)+(5.000.000∗50%)−(10.000.000∗40%)=1.500.000</a:t>
              </a:r>
              <a:endParaRPr lang="es-ES" sz="1100" b="0"/>
            </a:p>
          </xdr:txBody>
        </xdr:sp>
      </mc:Fallback>
    </mc:AlternateContent>
    <xdr:clientData/>
  </xdr:oneCellAnchor>
  <xdr:oneCellAnchor>
    <xdr:from>
      <xdr:col>1</xdr:col>
      <xdr:colOff>260350</xdr:colOff>
      <xdr:row>30</xdr:row>
      <xdr:rowOff>107950</xdr:rowOff>
    </xdr:from>
    <xdr:ext cx="48983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1854630-456F-4304-B0C9-7C51CCE77DD0}"/>
                </a:ext>
              </a:extLst>
            </xdr:cNvPr>
            <xdr:cNvSpPr txBox="1"/>
          </xdr:nvSpPr>
          <xdr:spPr>
            <a:xfrm>
              <a:off x="1097056" y="5710891"/>
              <a:ext cx="48983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40.000.000∗10%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10.000.000∗50%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30.000.000∗40%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=−3.000.000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1854630-456F-4304-B0C9-7C51CCE77DD0}"/>
                </a:ext>
              </a:extLst>
            </xdr:cNvPr>
            <xdr:cNvSpPr txBox="1"/>
          </xdr:nvSpPr>
          <xdr:spPr>
            <a:xfrm>
              <a:off x="1097056" y="5710891"/>
              <a:ext cx="48983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(40.000.000∗10%)+(10.000.000∗50%)−(30.000.000∗40%)=−3.000.000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336550</xdr:colOff>
      <xdr:row>32</xdr:row>
      <xdr:rowOff>82550</xdr:rowOff>
    </xdr:from>
    <xdr:ext cx="4293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A4C5904-7015-454D-9C3E-1D06AD6F9437}"/>
                </a:ext>
              </a:extLst>
            </xdr:cNvPr>
            <xdr:cNvSpPr txBox="1"/>
          </xdr:nvSpPr>
          <xdr:spPr>
            <a:xfrm>
              <a:off x="1173256" y="6059021"/>
              <a:ext cx="4293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−10.000.000∗10%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0∗50%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15.000.000∗40%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=5.000.000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A4C5904-7015-454D-9C3E-1D06AD6F9437}"/>
                </a:ext>
              </a:extLst>
            </xdr:cNvPr>
            <xdr:cNvSpPr txBox="1"/>
          </xdr:nvSpPr>
          <xdr:spPr>
            <a:xfrm>
              <a:off x="1173256" y="6059021"/>
              <a:ext cx="4293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(−10.000.000∗10%)+(0∗50%)+(15.000.000∗40%)=5.000.000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11" sqref="C11"/>
    </sheetView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B852-390D-4C49-B964-C88288C495A6}">
  <dimension ref="A1:V90"/>
  <sheetViews>
    <sheetView topLeftCell="A79" zoomScaleNormal="100" workbookViewId="0">
      <selection activeCell="C41" sqref="C41:D41"/>
    </sheetView>
  </sheetViews>
  <sheetFormatPr baseColWidth="10" defaultRowHeight="14.5" x14ac:dyDescent="0.35"/>
  <sheetData>
    <row r="1" spans="1:13" x14ac:dyDescent="0.35">
      <c r="A1">
        <v>1</v>
      </c>
    </row>
    <row r="3" spans="1:13" s="1" customFormat="1" x14ac:dyDescent="0.35">
      <c r="A3" s="1" t="s">
        <v>0</v>
      </c>
    </row>
    <row r="4" spans="1:13" x14ac:dyDescent="0.35">
      <c r="H4" s="32"/>
      <c r="I4" s="32"/>
      <c r="J4" s="32"/>
      <c r="K4" s="32"/>
      <c r="L4" s="32"/>
      <c r="M4" s="32"/>
    </row>
    <row r="5" spans="1:13" x14ac:dyDescent="0.35">
      <c r="A5" s="32" t="s">
        <v>1</v>
      </c>
      <c r="B5" s="32"/>
      <c r="C5" s="32"/>
      <c r="D5" s="32"/>
      <c r="E5" s="32"/>
      <c r="H5" s="32"/>
      <c r="I5" s="32"/>
      <c r="J5" s="32"/>
      <c r="K5" s="32"/>
      <c r="L5" s="32"/>
      <c r="M5" s="32"/>
    </row>
    <row r="6" spans="1:13" ht="15" thickBot="1" x14ac:dyDescent="0.4"/>
    <row r="7" spans="1:13" x14ac:dyDescent="0.35">
      <c r="B7" s="3" t="s">
        <v>2</v>
      </c>
      <c r="C7" s="4" t="s">
        <v>3</v>
      </c>
      <c r="D7" s="4" t="s">
        <v>4</v>
      </c>
      <c r="E7" s="4" t="s">
        <v>5</v>
      </c>
      <c r="F7" s="5" t="s">
        <v>6</v>
      </c>
    </row>
    <row r="8" spans="1:13" x14ac:dyDescent="0.35">
      <c r="B8" s="6" t="s">
        <v>7</v>
      </c>
      <c r="C8" s="7">
        <v>8</v>
      </c>
      <c r="D8" s="7">
        <v>10</v>
      </c>
      <c r="E8" s="7">
        <v>18</v>
      </c>
      <c r="F8" s="8">
        <f>+(C8+4*D8+E8)/6</f>
        <v>11</v>
      </c>
    </row>
    <row r="9" spans="1:13" x14ac:dyDescent="0.35">
      <c r="B9" s="6" t="s">
        <v>8</v>
      </c>
      <c r="C9" s="7">
        <v>4</v>
      </c>
      <c r="D9" s="7">
        <v>7</v>
      </c>
      <c r="E9" s="7">
        <v>11</v>
      </c>
      <c r="F9" s="8">
        <f t="shared" ref="F9:F14" si="0">+(C9+4*D9+E9)/6</f>
        <v>7.166666666666667</v>
      </c>
    </row>
    <row r="10" spans="1:13" x14ac:dyDescent="0.35">
      <c r="B10" s="6" t="s">
        <v>9</v>
      </c>
      <c r="C10" s="7">
        <v>10</v>
      </c>
      <c r="D10" s="7">
        <v>14</v>
      </c>
      <c r="E10" s="7">
        <v>17</v>
      </c>
      <c r="F10" s="8">
        <f t="shared" si="0"/>
        <v>13.833333333333334</v>
      </c>
    </row>
    <row r="11" spans="1:13" x14ac:dyDescent="0.35">
      <c r="B11" s="6" t="s">
        <v>10</v>
      </c>
      <c r="C11" s="7">
        <v>5</v>
      </c>
      <c r="D11" s="7">
        <v>7</v>
      </c>
      <c r="E11" s="7">
        <v>10</v>
      </c>
      <c r="F11" s="8">
        <f t="shared" si="0"/>
        <v>7.166666666666667</v>
      </c>
    </row>
    <row r="12" spans="1:13" x14ac:dyDescent="0.35">
      <c r="B12" s="6" t="s">
        <v>11</v>
      </c>
      <c r="C12" s="7">
        <v>5</v>
      </c>
      <c r="D12" s="7">
        <v>7</v>
      </c>
      <c r="E12" s="7">
        <v>11</v>
      </c>
      <c r="F12" s="8">
        <f t="shared" si="0"/>
        <v>7.333333333333333</v>
      </c>
    </row>
    <row r="13" spans="1:13" x14ac:dyDescent="0.35">
      <c r="B13" s="6" t="s">
        <v>12</v>
      </c>
      <c r="C13" s="7">
        <v>14</v>
      </c>
      <c r="D13" s="7">
        <v>16</v>
      </c>
      <c r="E13" s="7">
        <v>24</v>
      </c>
      <c r="F13" s="8">
        <f t="shared" si="0"/>
        <v>17</v>
      </c>
    </row>
    <row r="14" spans="1:13" ht="15" thickBot="1" x14ac:dyDescent="0.4">
      <c r="B14" s="9" t="s">
        <v>13</v>
      </c>
      <c r="C14" s="10">
        <v>5</v>
      </c>
      <c r="D14" s="10">
        <v>6</v>
      </c>
      <c r="E14" s="10">
        <v>11</v>
      </c>
      <c r="F14" s="11">
        <f t="shared" si="0"/>
        <v>6.666666666666667</v>
      </c>
    </row>
    <row r="16" spans="1:13" x14ac:dyDescent="0.35">
      <c r="A16" s="32" t="s">
        <v>14</v>
      </c>
      <c r="B16" s="32"/>
      <c r="C16" s="32"/>
      <c r="D16" s="32"/>
      <c r="E16" s="32"/>
      <c r="F16" s="32"/>
      <c r="G16" s="32"/>
    </row>
    <row r="18" spans="1:22" ht="15" x14ac:dyDescent="0.35">
      <c r="A18" s="33" t="s">
        <v>15</v>
      </c>
      <c r="B18" s="33"/>
      <c r="C18" s="33"/>
      <c r="D18" t="s">
        <v>16</v>
      </c>
      <c r="E18" s="2">
        <f>+F8+F11+F13+F14</f>
        <v>41.833333333333336</v>
      </c>
    </row>
    <row r="20" spans="1:22" s="1" customFormat="1" x14ac:dyDescent="0.35">
      <c r="A20" s="1" t="s">
        <v>8</v>
      </c>
    </row>
    <row r="22" spans="1:22" x14ac:dyDescent="0.35">
      <c r="I22" s="13">
        <f>+I24-I23</f>
        <v>3.0000000000000053</v>
      </c>
    </row>
    <row r="23" spans="1:22" x14ac:dyDescent="0.35">
      <c r="H23" s="12" t="s">
        <v>9</v>
      </c>
      <c r="I23" s="13">
        <f>+F28</f>
        <v>11</v>
      </c>
      <c r="J23" s="13">
        <f>+I23+H24</f>
        <v>24.833333333333336</v>
      </c>
    </row>
    <row r="24" spans="1:22" x14ac:dyDescent="0.35">
      <c r="H24" s="13">
        <f>+F10</f>
        <v>13.833333333333334</v>
      </c>
      <c r="I24" s="13">
        <f>+J24-H24</f>
        <v>14.000000000000005</v>
      </c>
      <c r="J24" s="13">
        <f>+M27</f>
        <v>27.833333333333339</v>
      </c>
    </row>
    <row r="25" spans="1:22" x14ac:dyDescent="0.35">
      <c r="M25" s="13">
        <f>+M27-M26</f>
        <v>3.0000000000000036</v>
      </c>
    </row>
    <row r="26" spans="1:22" x14ac:dyDescent="0.35">
      <c r="L26" s="12" t="s">
        <v>11</v>
      </c>
      <c r="M26" s="13">
        <f>+J23</f>
        <v>24.833333333333336</v>
      </c>
      <c r="N26" s="13">
        <f>+M26+L27</f>
        <v>32.166666666666671</v>
      </c>
    </row>
    <row r="27" spans="1:22" x14ac:dyDescent="0.35">
      <c r="E27" s="15">
        <f>+E28-E29</f>
        <v>0</v>
      </c>
      <c r="L27" s="13">
        <f>+F12</f>
        <v>7.333333333333333</v>
      </c>
      <c r="M27" s="13">
        <f>+N27-L27</f>
        <v>27.833333333333339</v>
      </c>
      <c r="N27" s="13">
        <f>+Q30</f>
        <v>35.166666666666671</v>
      </c>
    </row>
    <row r="28" spans="1:22" x14ac:dyDescent="0.35">
      <c r="D28" s="14" t="s">
        <v>0</v>
      </c>
      <c r="E28" s="14">
        <v>0</v>
      </c>
      <c r="F28" s="15">
        <f>+E28+D29</f>
        <v>11</v>
      </c>
      <c r="Q28" s="15">
        <f>+Q30-Q29</f>
        <v>0</v>
      </c>
    </row>
    <row r="29" spans="1:22" x14ac:dyDescent="0.35">
      <c r="D29" s="15">
        <f>+F8</f>
        <v>11</v>
      </c>
      <c r="E29" s="15">
        <f>+F29-D29</f>
        <v>0</v>
      </c>
      <c r="F29" s="15">
        <f>+I33</f>
        <v>11.000000000000004</v>
      </c>
      <c r="P29" s="14" t="s">
        <v>13</v>
      </c>
      <c r="Q29" s="15">
        <f>+N36</f>
        <v>35.166666666666671</v>
      </c>
      <c r="R29" s="15">
        <f>+Q29+P30</f>
        <v>41.833333333333336</v>
      </c>
      <c r="T29" s="30" t="s">
        <v>17</v>
      </c>
      <c r="U29" s="30"/>
      <c r="V29" s="30"/>
    </row>
    <row r="30" spans="1:22" x14ac:dyDescent="0.35">
      <c r="P30" s="15">
        <f>+F14</f>
        <v>6.666666666666667</v>
      </c>
      <c r="Q30" s="15">
        <f>+R30-P30</f>
        <v>35.166666666666671</v>
      </c>
      <c r="R30" s="15">
        <f>+R29</f>
        <v>41.833333333333336</v>
      </c>
      <c r="T30" s="30"/>
      <c r="U30" s="30"/>
      <c r="V30" s="30"/>
    </row>
    <row r="31" spans="1:22" x14ac:dyDescent="0.35">
      <c r="I31" s="15">
        <f>+I32-I33</f>
        <v>0</v>
      </c>
    </row>
    <row r="32" spans="1:22" x14ac:dyDescent="0.35">
      <c r="H32" s="14" t="s">
        <v>10</v>
      </c>
      <c r="I32" s="15">
        <f>+F28</f>
        <v>11</v>
      </c>
      <c r="J32" s="15">
        <f>+I32+H33</f>
        <v>18.166666666666668</v>
      </c>
    </row>
    <row r="33" spans="1:14" x14ac:dyDescent="0.35">
      <c r="H33" s="15">
        <f>+F11</f>
        <v>7.166666666666667</v>
      </c>
      <c r="I33" s="15">
        <f>+J33-H33</f>
        <v>11.000000000000004</v>
      </c>
      <c r="J33" s="15">
        <f>+M37</f>
        <v>18.166666666666671</v>
      </c>
    </row>
    <row r="35" spans="1:14" x14ac:dyDescent="0.35">
      <c r="E35" s="13">
        <f>+E37-E36</f>
        <v>11.000000000000004</v>
      </c>
      <c r="M35" s="15">
        <f>+M37-M36</f>
        <v>0</v>
      </c>
    </row>
    <row r="36" spans="1:14" x14ac:dyDescent="0.35">
      <c r="D36" s="12" t="s">
        <v>8</v>
      </c>
      <c r="E36" s="12">
        <v>0</v>
      </c>
      <c r="F36" s="13">
        <f>+E36+D37</f>
        <v>7.166666666666667</v>
      </c>
      <c r="L36" s="14" t="s">
        <v>12</v>
      </c>
      <c r="M36" s="15">
        <f>+J32</f>
        <v>18.166666666666668</v>
      </c>
      <c r="N36" s="15">
        <f>+M36+L37</f>
        <v>35.166666666666671</v>
      </c>
    </row>
    <row r="37" spans="1:14" x14ac:dyDescent="0.35">
      <c r="D37" s="13">
        <f>+F9</f>
        <v>7.166666666666667</v>
      </c>
      <c r="E37" s="13">
        <f>+F37-D37</f>
        <v>11.000000000000004</v>
      </c>
      <c r="F37" s="13">
        <f>+M37</f>
        <v>18.166666666666671</v>
      </c>
      <c r="L37" s="15">
        <f>+F13</f>
        <v>17</v>
      </c>
      <c r="M37" s="15">
        <f>+N37-L37</f>
        <v>18.166666666666671</v>
      </c>
      <c r="N37" s="15">
        <f>+Q30</f>
        <v>35.166666666666671</v>
      </c>
    </row>
    <row r="41" spans="1:14" x14ac:dyDescent="0.35">
      <c r="C41" s="31" t="s">
        <v>20</v>
      </c>
      <c r="D41" s="31"/>
    </row>
    <row r="42" spans="1:14" x14ac:dyDescent="0.35">
      <c r="A42" s="31" t="s">
        <v>18</v>
      </c>
      <c r="B42" s="31"/>
      <c r="C42" s="31" t="s">
        <v>21</v>
      </c>
      <c r="D42" s="31"/>
      <c r="E42" s="31" t="s">
        <v>22</v>
      </c>
      <c r="F42" s="31"/>
    </row>
    <row r="43" spans="1:14" x14ac:dyDescent="0.35">
      <c r="A43" s="31" t="s">
        <v>19</v>
      </c>
      <c r="B43" s="31"/>
      <c r="C43" s="31" t="s">
        <v>23</v>
      </c>
      <c r="D43" s="31"/>
      <c r="E43" s="31" t="s">
        <v>24</v>
      </c>
      <c r="F43" s="31"/>
    </row>
    <row r="47" spans="1:14" s="16" customFormat="1" x14ac:dyDescent="0.35">
      <c r="A47" s="16" t="s">
        <v>9</v>
      </c>
    </row>
    <row r="49" spans="1:13" x14ac:dyDescent="0.35">
      <c r="A49" s="31" t="s">
        <v>25</v>
      </c>
      <c r="B49" s="31"/>
      <c r="C49" s="13">
        <f>+R30</f>
        <v>41.833333333333336</v>
      </c>
    </row>
    <row r="52" spans="1:13" x14ac:dyDescent="0.35">
      <c r="A52" s="36" t="s">
        <v>26</v>
      </c>
      <c r="B52" s="36"/>
      <c r="C52" s="36"/>
      <c r="D52" s="36"/>
      <c r="E52" s="32"/>
      <c r="F52" s="32"/>
      <c r="G52" s="32"/>
      <c r="H52" s="32"/>
      <c r="I52" s="32"/>
    </row>
    <row r="53" spans="1:13" x14ac:dyDescent="0.35">
      <c r="A53" s="36"/>
      <c r="B53" s="36"/>
      <c r="C53" s="36"/>
      <c r="D53" s="36"/>
      <c r="E53" s="32"/>
      <c r="F53" s="32"/>
      <c r="G53" s="32"/>
      <c r="H53" s="32"/>
      <c r="I53" s="32"/>
    </row>
    <row r="56" spans="1:13" x14ac:dyDescent="0.35">
      <c r="A56" s="32" t="s">
        <v>27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8" spans="1:13" ht="15" thickBot="1" x14ac:dyDescent="0.4"/>
    <row r="59" spans="1:13" x14ac:dyDescent="0.35">
      <c r="B59" s="3" t="s">
        <v>2</v>
      </c>
      <c r="C59" s="4" t="s">
        <v>3</v>
      </c>
      <c r="D59" s="4" t="s">
        <v>5</v>
      </c>
      <c r="E59" s="37" t="s">
        <v>28</v>
      </c>
      <c r="F59" s="38"/>
    </row>
    <row r="60" spans="1:13" x14ac:dyDescent="0.35">
      <c r="B60" s="6" t="s">
        <v>7</v>
      </c>
      <c r="C60" s="7">
        <v>8</v>
      </c>
      <c r="D60" s="7">
        <v>18</v>
      </c>
      <c r="E60" s="34">
        <f>+(D60-C60)/6</f>
        <v>1.6666666666666667</v>
      </c>
      <c r="F60" s="35"/>
    </row>
    <row r="61" spans="1:13" x14ac:dyDescent="0.35">
      <c r="B61" s="6" t="s">
        <v>10</v>
      </c>
      <c r="C61" s="7">
        <v>5</v>
      </c>
      <c r="D61" s="7">
        <v>10</v>
      </c>
      <c r="E61" s="34">
        <f t="shared" ref="E61:E63" si="1">+(D61-C61)/6</f>
        <v>0.83333333333333337</v>
      </c>
      <c r="F61" s="35"/>
    </row>
    <row r="62" spans="1:13" x14ac:dyDescent="0.35">
      <c r="B62" s="6" t="s">
        <v>12</v>
      </c>
      <c r="C62" s="7">
        <v>14</v>
      </c>
      <c r="D62" s="7">
        <v>24</v>
      </c>
      <c r="E62" s="34">
        <f t="shared" si="1"/>
        <v>1.6666666666666667</v>
      </c>
      <c r="F62" s="35"/>
    </row>
    <row r="63" spans="1:13" ht="15" thickBot="1" x14ac:dyDescent="0.4">
      <c r="B63" s="9" t="s">
        <v>13</v>
      </c>
      <c r="C63" s="10">
        <v>5</v>
      </c>
      <c r="D63" s="10">
        <v>11</v>
      </c>
      <c r="E63" s="39">
        <f t="shared" si="1"/>
        <v>1</v>
      </c>
      <c r="F63" s="40"/>
    </row>
    <row r="65" spans="1:5" x14ac:dyDescent="0.35">
      <c r="B65" s="32"/>
      <c r="C65" s="32"/>
      <c r="D65" s="32"/>
    </row>
    <row r="66" spans="1:5" x14ac:dyDescent="0.35">
      <c r="B66" s="32"/>
      <c r="C66" s="32"/>
      <c r="D66" s="32"/>
    </row>
    <row r="69" spans="1:5" x14ac:dyDescent="0.35">
      <c r="B69" s="32"/>
      <c r="C69" s="32"/>
      <c r="D69" s="32"/>
      <c r="E69" s="32"/>
    </row>
    <row r="70" spans="1:5" x14ac:dyDescent="0.35">
      <c r="B70" s="32"/>
      <c r="C70" s="32"/>
      <c r="D70" s="32"/>
      <c r="E70" s="32"/>
    </row>
    <row r="72" spans="1:5" s="16" customFormat="1" x14ac:dyDescent="0.35">
      <c r="A72" s="16" t="s">
        <v>10</v>
      </c>
    </row>
    <row r="74" spans="1:5" x14ac:dyDescent="0.35">
      <c r="B74" s="32"/>
      <c r="C74" s="32"/>
      <c r="D74" s="32"/>
    </row>
    <row r="75" spans="1:5" x14ac:dyDescent="0.35">
      <c r="B75" s="32"/>
      <c r="C75" s="32"/>
      <c r="D75" s="32"/>
    </row>
    <row r="77" spans="1:5" x14ac:dyDescent="0.35">
      <c r="A77" s="32" t="s">
        <v>29</v>
      </c>
      <c r="B77" s="32"/>
      <c r="C77" s="32"/>
      <c r="D77" s="32"/>
      <c r="E77" s="32"/>
    </row>
    <row r="80" spans="1:5" x14ac:dyDescent="0.35">
      <c r="B80" s="32"/>
      <c r="C80" s="32"/>
      <c r="D80" s="32"/>
      <c r="E80" s="32"/>
    </row>
    <row r="82" spans="1:5" s="16" customFormat="1" x14ac:dyDescent="0.35">
      <c r="A82" s="16" t="s">
        <v>11</v>
      </c>
    </row>
    <row r="84" spans="1:5" x14ac:dyDescent="0.35">
      <c r="B84" s="32"/>
      <c r="C84" s="32"/>
      <c r="D84" s="32"/>
    </row>
    <row r="85" spans="1:5" x14ac:dyDescent="0.35">
      <c r="B85" s="32"/>
      <c r="C85" s="32"/>
      <c r="D85" s="32"/>
    </row>
    <row r="87" spans="1:5" x14ac:dyDescent="0.35">
      <c r="A87" s="32" t="s">
        <v>30</v>
      </c>
      <c r="B87" s="32"/>
      <c r="C87" s="32"/>
      <c r="D87" s="32"/>
      <c r="E87" s="32"/>
    </row>
    <row r="90" spans="1:5" x14ac:dyDescent="0.35">
      <c r="B90" s="32"/>
      <c r="C90" s="32"/>
      <c r="D90" s="32"/>
      <c r="E90" s="32"/>
    </row>
  </sheetData>
  <mergeCells count="29">
    <mergeCell ref="A77:E77"/>
    <mergeCell ref="B80:E80"/>
    <mergeCell ref="B84:D85"/>
    <mergeCell ref="A87:E87"/>
    <mergeCell ref="B90:E90"/>
    <mergeCell ref="A5:E5"/>
    <mergeCell ref="H4:M5"/>
    <mergeCell ref="A16:G16"/>
    <mergeCell ref="A18:C18"/>
    <mergeCell ref="B74:D75"/>
    <mergeCell ref="E60:F60"/>
    <mergeCell ref="A49:B49"/>
    <mergeCell ref="A52:D53"/>
    <mergeCell ref="A56:M56"/>
    <mergeCell ref="E52:I53"/>
    <mergeCell ref="E59:F59"/>
    <mergeCell ref="B65:D66"/>
    <mergeCell ref="B69:E70"/>
    <mergeCell ref="E61:F61"/>
    <mergeCell ref="E62:F62"/>
    <mergeCell ref="E63:F63"/>
    <mergeCell ref="T29:V30"/>
    <mergeCell ref="A42:B42"/>
    <mergeCell ref="C42:D42"/>
    <mergeCell ref="E42:F42"/>
    <mergeCell ref="A43:B43"/>
    <mergeCell ref="C43:D43"/>
    <mergeCell ref="E43:F43"/>
    <mergeCell ref="C41:D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B418-70A4-49EC-9E16-1A4985970D30}">
  <dimension ref="A1:Y52"/>
  <sheetViews>
    <sheetView topLeftCell="A40" zoomScale="70" zoomScaleNormal="70" workbookViewId="0">
      <selection activeCell="F27" sqref="F27"/>
    </sheetView>
  </sheetViews>
  <sheetFormatPr baseColWidth="10" defaultRowHeight="14.5" x14ac:dyDescent="0.35"/>
  <sheetData>
    <row r="1" spans="1:25" x14ac:dyDescent="0.35">
      <c r="A1">
        <v>2</v>
      </c>
    </row>
    <row r="3" spans="1:25" s="16" customFormat="1" x14ac:dyDescent="0.35">
      <c r="A3" s="16" t="s">
        <v>0</v>
      </c>
    </row>
    <row r="5" spans="1:25" x14ac:dyDescent="0.35">
      <c r="H5" s="18">
        <f>+H6-H7</f>
        <v>0</v>
      </c>
      <c r="L5" s="15">
        <f>+L7-L6</f>
        <v>0</v>
      </c>
    </row>
    <row r="6" spans="1:25" x14ac:dyDescent="0.35">
      <c r="G6" s="17" t="s">
        <v>8</v>
      </c>
      <c r="H6" s="18">
        <f>+E12</f>
        <v>1</v>
      </c>
      <c r="I6" s="18">
        <f>+H6+G7</f>
        <v>5</v>
      </c>
      <c r="K6" s="14" t="s">
        <v>11</v>
      </c>
      <c r="L6" s="15">
        <f>+I6</f>
        <v>5</v>
      </c>
      <c r="M6" s="15">
        <f>+L6+K7</f>
        <v>11</v>
      </c>
    </row>
    <row r="7" spans="1:25" x14ac:dyDescent="0.35">
      <c r="G7" s="18">
        <v>4</v>
      </c>
      <c r="H7" s="18">
        <f>+I7-G7</f>
        <v>1</v>
      </c>
      <c r="I7" s="18">
        <f>+L7</f>
        <v>5</v>
      </c>
      <c r="K7" s="15">
        <v>6</v>
      </c>
      <c r="L7" s="15">
        <f>+M7-K7</f>
        <v>5</v>
      </c>
      <c r="M7" s="15">
        <f>+P9</f>
        <v>11</v>
      </c>
      <c r="P7" s="15">
        <f>+P9-P8</f>
        <v>0</v>
      </c>
    </row>
    <row r="8" spans="1:25" x14ac:dyDescent="0.35">
      <c r="O8" s="14" t="s">
        <v>13</v>
      </c>
      <c r="P8" s="15">
        <f>+M6</f>
        <v>11</v>
      </c>
      <c r="Q8" s="15">
        <f>+P8+O9</f>
        <v>18</v>
      </c>
    </row>
    <row r="9" spans="1:25" x14ac:dyDescent="0.35">
      <c r="O9" s="15">
        <v>7</v>
      </c>
      <c r="P9" s="15">
        <f>+Q9-O9</f>
        <v>11</v>
      </c>
      <c r="Q9" s="15">
        <f>+T14</f>
        <v>18</v>
      </c>
    </row>
    <row r="11" spans="1:25" x14ac:dyDescent="0.35">
      <c r="D11" s="15"/>
      <c r="H11" s="13">
        <f>+H13-H12</f>
        <v>5</v>
      </c>
      <c r="L11" s="13">
        <f>+L13-L12</f>
        <v>1</v>
      </c>
    </row>
    <row r="12" spans="1:25" ht="15" thickBot="1" x14ac:dyDescent="0.4">
      <c r="C12" s="14" t="s">
        <v>0</v>
      </c>
      <c r="D12" s="14">
        <v>0</v>
      </c>
      <c r="E12" s="15">
        <f>+D12+C13</f>
        <v>1</v>
      </c>
      <c r="G12" s="12" t="s">
        <v>9</v>
      </c>
      <c r="H12" s="13">
        <f>+E12</f>
        <v>1</v>
      </c>
      <c r="I12" s="13">
        <f>+H12+G13</f>
        <v>4</v>
      </c>
      <c r="K12" s="12" t="s">
        <v>12</v>
      </c>
      <c r="L12" s="13">
        <f>+I18</f>
        <v>8</v>
      </c>
      <c r="M12" s="13">
        <f>+L12+K13</f>
        <v>10</v>
      </c>
      <c r="T12" s="15">
        <f>+T14-T13</f>
        <v>0</v>
      </c>
    </row>
    <row r="13" spans="1:25" x14ac:dyDescent="0.35">
      <c r="C13" s="15">
        <v>1</v>
      </c>
      <c r="D13" s="15">
        <f>+E13-C13</f>
        <v>0</v>
      </c>
      <c r="E13" s="15">
        <f>+H7</f>
        <v>1</v>
      </c>
      <c r="G13" s="13">
        <v>3</v>
      </c>
      <c r="H13" s="13">
        <f>+I13-G13</f>
        <v>6</v>
      </c>
      <c r="I13" s="13">
        <f>+L13</f>
        <v>9</v>
      </c>
      <c r="K13" s="13">
        <v>2</v>
      </c>
      <c r="L13" s="13">
        <f>+M13-K13</f>
        <v>9</v>
      </c>
      <c r="M13" s="13">
        <f>+P9</f>
        <v>11</v>
      </c>
      <c r="S13" s="14" t="s">
        <v>32</v>
      </c>
      <c r="T13" s="15">
        <f>+Q8</f>
        <v>18</v>
      </c>
      <c r="U13" s="15">
        <f>+T13+S14</f>
        <v>22</v>
      </c>
      <c r="W13" s="41" t="s">
        <v>33</v>
      </c>
      <c r="X13" s="37"/>
      <c r="Y13" s="38"/>
    </row>
    <row r="14" spans="1:25" ht="15" thickBot="1" x14ac:dyDescent="0.4">
      <c r="S14" s="15">
        <v>4</v>
      </c>
      <c r="T14" s="15">
        <f>+U14-S14</f>
        <v>18</v>
      </c>
      <c r="U14" s="15">
        <f>+U13</f>
        <v>22</v>
      </c>
      <c r="W14" s="42"/>
      <c r="X14" s="43"/>
      <c r="Y14" s="44"/>
    </row>
    <row r="16" spans="1:25" x14ac:dyDescent="0.35">
      <c r="O16" s="13">
        <f>+O18-O17</f>
        <v>1</v>
      </c>
    </row>
    <row r="17" spans="1:16" x14ac:dyDescent="0.35">
      <c r="H17" s="13">
        <f>+H19-H18</f>
        <v>1</v>
      </c>
      <c r="N17" s="12" t="s">
        <v>31</v>
      </c>
      <c r="O17" s="13">
        <f>+I18</f>
        <v>8</v>
      </c>
      <c r="P17" s="13">
        <f>+O17+N18</f>
        <v>17</v>
      </c>
    </row>
    <row r="18" spans="1:16" x14ac:dyDescent="0.35">
      <c r="G18" s="12" t="s">
        <v>10</v>
      </c>
      <c r="H18" s="13">
        <f>+E12</f>
        <v>1</v>
      </c>
      <c r="I18" s="13">
        <f>+H18+G19</f>
        <v>8</v>
      </c>
      <c r="N18" s="13">
        <v>9</v>
      </c>
      <c r="O18" s="13">
        <f>+P18-N18</f>
        <v>9</v>
      </c>
      <c r="P18" s="13">
        <f>+T14</f>
        <v>18</v>
      </c>
    </row>
    <row r="19" spans="1:16" x14ac:dyDescent="0.35">
      <c r="G19" s="13">
        <v>7</v>
      </c>
      <c r="H19" s="13">
        <f>+I19-G19</f>
        <v>2</v>
      </c>
      <c r="I19" s="13">
        <f>+L13</f>
        <v>9</v>
      </c>
    </row>
    <row r="21" spans="1:16" s="16" customFormat="1" x14ac:dyDescent="0.35">
      <c r="A21" s="16" t="s">
        <v>8</v>
      </c>
    </row>
    <row r="23" spans="1:16" x14ac:dyDescent="0.35">
      <c r="C23" s="31" t="s">
        <v>20</v>
      </c>
      <c r="D23" s="31"/>
    </row>
    <row r="24" spans="1:16" x14ac:dyDescent="0.35">
      <c r="A24" s="31" t="s">
        <v>18</v>
      </c>
      <c r="B24" s="31"/>
      <c r="C24" s="31" t="s">
        <v>21</v>
      </c>
      <c r="D24" s="31"/>
      <c r="E24" s="31" t="s">
        <v>22</v>
      </c>
      <c r="F24" s="31"/>
    </row>
    <row r="25" spans="1:16" x14ac:dyDescent="0.35">
      <c r="A25" s="31" t="s">
        <v>19</v>
      </c>
      <c r="B25" s="31"/>
      <c r="C25" s="31" t="s">
        <v>23</v>
      </c>
      <c r="D25" s="31"/>
      <c r="E25" s="31" t="s">
        <v>24</v>
      </c>
      <c r="F25" s="31"/>
    </row>
    <row r="29" spans="1:16" s="16" customFormat="1" x14ac:dyDescent="0.35">
      <c r="A29" s="16" t="s">
        <v>9</v>
      </c>
    </row>
    <row r="30" spans="1:16" ht="15" thickBot="1" x14ac:dyDescent="0.4"/>
    <row r="31" spans="1:16" ht="15" thickBot="1" x14ac:dyDescent="0.4">
      <c r="A31" s="19" t="s">
        <v>34</v>
      </c>
      <c r="B31" s="20" t="s">
        <v>35</v>
      </c>
    </row>
    <row r="33" spans="1:25" s="16" customFormat="1" x14ac:dyDescent="0.35">
      <c r="A33" s="16" t="s">
        <v>10</v>
      </c>
    </row>
    <row r="36" spans="1:25" x14ac:dyDescent="0.35">
      <c r="A36" s="32" t="s">
        <v>36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8" spans="1:25" x14ac:dyDescent="0.35">
      <c r="H38" s="25">
        <v>1</v>
      </c>
      <c r="L38" s="23">
        <v>1</v>
      </c>
    </row>
    <row r="39" spans="1:25" x14ac:dyDescent="0.35">
      <c r="G39" s="24" t="s">
        <v>8</v>
      </c>
      <c r="H39" s="25">
        <f>+E45</f>
        <v>1</v>
      </c>
      <c r="I39" s="25">
        <f>+H39+G40</f>
        <v>5</v>
      </c>
      <c r="K39" s="22" t="s">
        <v>11</v>
      </c>
      <c r="L39" s="23">
        <f>+I39</f>
        <v>5</v>
      </c>
      <c r="M39" s="23">
        <f>+L39+K40</f>
        <v>11</v>
      </c>
    </row>
    <row r="40" spans="1:25" x14ac:dyDescent="0.35">
      <c r="G40" s="25">
        <v>4</v>
      </c>
      <c r="H40" s="25">
        <f>+I40-G40</f>
        <v>2</v>
      </c>
      <c r="I40" s="25">
        <f>+L40</f>
        <v>6</v>
      </c>
      <c r="K40" s="23">
        <v>6</v>
      </c>
      <c r="L40" s="23">
        <f>+M40-K40</f>
        <v>6</v>
      </c>
      <c r="M40" s="23">
        <f>+P42</f>
        <v>12</v>
      </c>
      <c r="P40" s="15">
        <v>0</v>
      </c>
    </row>
    <row r="41" spans="1:25" x14ac:dyDescent="0.35">
      <c r="O41" s="14" t="s">
        <v>13</v>
      </c>
      <c r="P41" s="15">
        <f>+M45</f>
        <v>12</v>
      </c>
      <c r="Q41" s="15">
        <f>+P41+O42</f>
        <v>19</v>
      </c>
    </row>
    <row r="42" spans="1:25" x14ac:dyDescent="0.35">
      <c r="O42" s="15">
        <v>7</v>
      </c>
      <c r="P42" s="15">
        <f>+Q42-O42</f>
        <v>12</v>
      </c>
      <c r="Q42" s="15">
        <f>+T47</f>
        <v>19</v>
      </c>
    </row>
    <row r="44" spans="1:25" x14ac:dyDescent="0.35">
      <c r="D44" s="15">
        <v>0</v>
      </c>
      <c r="H44" s="13">
        <v>4</v>
      </c>
      <c r="L44" s="15">
        <v>0</v>
      </c>
    </row>
    <row r="45" spans="1:25" ht="15" thickBot="1" x14ac:dyDescent="0.4">
      <c r="C45" s="14" t="s">
        <v>0</v>
      </c>
      <c r="D45" s="14">
        <v>0</v>
      </c>
      <c r="E45" s="15">
        <f>+D45+C46</f>
        <v>1</v>
      </c>
      <c r="G45" s="12" t="s">
        <v>9</v>
      </c>
      <c r="H45" s="13">
        <f>+E45</f>
        <v>1</v>
      </c>
      <c r="I45" s="13">
        <f>+H45+G46</f>
        <v>4</v>
      </c>
      <c r="K45" s="14" t="s">
        <v>12</v>
      </c>
      <c r="L45" s="15">
        <f>+I51</f>
        <v>8</v>
      </c>
      <c r="M45" s="15">
        <f>+L45+K46</f>
        <v>12</v>
      </c>
      <c r="T45" s="15">
        <f>+T47-T46</f>
        <v>0</v>
      </c>
    </row>
    <row r="46" spans="1:25" x14ac:dyDescent="0.35">
      <c r="C46" s="15">
        <v>1</v>
      </c>
      <c r="D46" s="15">
        <f>+E46-C46</f>
        <v>0</v>
      </c>
      <c r="E46" s="15">
        <f>+H52</f>
        <v>1</v>
      </c>
      <c r="G46" s="13">
        <v>3</v>
      </c>
      <c r="H46" s="13">
        <f>+I46-G46</f>
        <v>5</v>
      </c>
      <c r="I46" s="13">
        <f>+L46</f>
        <v>8</v>
      </c>
      <c r="K46" s="15">
        <v>4</v>
      </c>
      <c r="L46" s="15">
        <f>+M46-K46</f>
        <v>8</v>
      </c>
      <c r="M46" s="15">
        <f>+P42</f>
        <v>12</v>
      </c>
      <c r="S46" s="14" t="s">
        <v>32</v>
      </c>
      <c r="T46" s="15">
        <f>+Q41</f>
        <v>19</v>
      </c>
      <c r="U46" s="15">
        <f>+T46+S47</f>
        <v>23</v>
      </c>
      <c r="W46" s="41" t="s">
        <v>37</v>
      </c>
      <c r="X46" s="37"/>
      <c r="Y46" s="38"/>
    </row>
    <row r="47" spans="1:25" ht="15" thickBot="1" x14ac:dyDescent="0.4">
      <c r="S47" s="15">
        <v>4</v>
      </c>
      <c r="T47" s="15">
        <f>+U47-S47</f>
        <v>19</v>
      </c>
      <c r="U47" s="15">
        <f>+U46</f>
        <v>23</v>
      </c>
      <c r="W47" s="42"/>
      <c r="X47" s="43"/>
      <c r="Y47" s="44"/>
    </row>
    <row r="48" spans="1:25" x14ac:dyDescent="0.35">
      <c r="D48" s="21"/>
    </row>
    <row r="49" spans="7:16" x14ac:dyDescent="0.35">
      <c r="O49" s="13">
        <v>2</v>
      </c>
    </row>
    <row r="50" spans="7:16" x14ac:dyDescent="0.35">
      <c r="H50" s="15">
        <v>0</v>
      </c>
      <c r="N50" s="12" t="s">
        <v>31</v>
      </c>
      <c r="O50" s="13">
        <f>+I51</f>
        <v>8</v>
      </c>
      <c r="P50" s="13">
        <f>+O50+N51</f>
        <v>17</v>
      </c>
    </row>
    <row r="51" spans="7:16" x14ac:dyDescent="0.35">
      <c r="G51" s="14" t="s">
        <v>10</v>
      </c>
      <c r="H51" s="15">
        <f>+E45</f>
        <v>1</v>
      </c>
      <c r="I51" s="15">
        <f>+H51+G52</f>
        <v>8</v>
      </c>
      <c r="N51" s="13">
        <v>9</v>
      </c>
      <c r="O51" s="13">
        <f>+P51-N51</f>
        <v>10</v>
      </c>
      <c r="P51" s="13">
        <f>+T47</f>
        <v>19</v>
      </c>
    </row>
    <row r="52" spans="7:16" x14ac:dyDescent="0.35">
      <c r="G52" s="15">
        <v>7</v>
      </c>
      <c r="H52" s="15">
        <f>+I52-G52</f>
        <v>1</v>
      </c>
      <c r="I52" s="15">
        <f>+L46</f>
        <v>8</v>
      </c>
    </row>
  </sheetData>
  <mergeCells count="10">
    <mergeCell ref="A25:B25"/>
    <mergeCell ref="C25:D25"/>
    <mergeCell ref="E25:F25"/>
    <mergeCell ref="A36:K36"/>
    <mergeCell ref="W46:Y47"/>
    <mergeCell ref="W13:Y14"/>
    <mergeCell ref="C23:D23"/>
    <mergeCell ref="A24:B24"/>
    <mergeCell ref="C24:D24"/>
    <mergeCell ref="E24:F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E23D-3921-40AC-8603-C52FAF4E82D5}">
  <dimension ref="A1:AB38"/>
  <sheetViews>
    <sheetView topLeftCell="A19" zoomScale="70" zoomScaleNormal="70" workbookViewId="0">
      <selection activeCell="E39" sqref="E39"/>
    </sheetView>
  </sheetViews>
  <sheetFormatPr baseColWidth="10" defaultRowHeight="14.5" x14ac:dyDescent="0.35"/>
  <sheetData>
    <row r="1" spans="1:28" x14ac:dyDescent="0.35">
      <c r="A1">
        <v>3</v>
      </c>
    </row>
    <row r="6" spans="1:28" x14ac:dyDescent="0.35">
      <c r="S6" s="15">
        <f>+S8-S7</f>
        <v>0</v>
      </c>
    </row>
    <row r="7" spans="1:28" x14ac:dyDescent="0.35">
      <c r="I7" s="23">
        <f>+I9-I8</f>
        <v>10</v>
      </c>
      <c r="M7" s="23">
        <f>+M9-M8</f>
        <v>30</v>
      </c>
      <c r="R7" s="14" t="s">
        <v>13</v>
      </c>
      <c r="S7" s="15">
        <f>+S12</f>
        <v>80</v>
      </c>
      <c r="T7" s="15">
        <f>+S7+R8</f>
        <v>100</v>
      </c>
    </row>
    <row r="8" spans="1:28" x14ac:dyDescent="0.35">
      <c r="H8" s="22" t="s">
        <v>8</v>
      </c>
      <c r="I8" s="23">
        <f>+F13</f>
        <v>0</v>
      </c>
      <c r="J8" s="23">
        <f>+I8+H9</f>
        <v>10</v>
      </c>
      <c r="L8" s="22" t="s">
        <v>10</v>
      </c>
      <c r="M8" s="23">
        <f>+J15</f>
        <v>20</v>
      </c>
      <c r="N8" s="23">
        <f>+M8+L9</f>
        <v>50</v>
      </c>
      <c r="R8" s="15">
        <v>20</v>
      </c>
      <c r="S8" s="15">
        <f>+T8-R8</f>
        <v>80</v>
      </c>
      <c r="T8" s="15">
        <f>+W13</f>
        <v>100</v>
      </c>
    </row>
    <row r="9" spans="1:28" x14ac:dyDescent="0.35">
      <c r="H9" s="23">
        <v>10</v>
      </c>
      <c r="I9" s="23">
        <f>+J9-H9</f>
        <v>10</v>
      </c>
      <c r="J9" s="23">
        <f>+N16</f>
        <v>20</v>
      </c>
      <c r="L9" s="23">
        <v>30</v>
      </c>
      <c r="M9" s="23">
        <f>+N9-L9</f>
        <v>50</v>
      </c>
      <c r="N9" s="23">
        <f>+S8</f>
        <v>80</v>
      </c>
    </row>
    <row r="11" spans="1:28" ht="15" thickBot="1" x14ac:dyDescent="0.4">
      <c r="R11" s="15">
        <f>+R13-R12</f>
        <v>0</v>
      </c>
      <c r="W11" s="15">
        <f>+W13-W12</f>
        <v>0</v>
      </c>
    </row>
    <row r="12" spans="1:28" x14ac:dyDescent="0.35">
      <c r="E12" s="15">
        <f>+E14-E13</f>
        <v>0</v>
      </c>
      <c r="Q12" s="14" t="s">
        <v>12</v>
      </c>
      <c r="R12" s="15">
        <f>+O15</f>
        <v>40</v>
      </c>
      <c r="S12" s="15">
        <f>+R12+Q13</f>
        <v>80</v>
      </c>
      <c r="V12" s="14" t="s">
        <v>31</v>
      </c>
      <c r="W12" s="15">
        <f>+T7</f>
        <v>100</v>
      </c>
      <c r="X12" s="15">
        <f>+W12+V13</f>
        <v>100</v>
      </c>
      <c r="Z12" s="45" t="s">
        <v>38</v>
      </c>
      <c r="AA12" s="46"/>
      <c r="AB12" s="47"/>
    </row>
    <row r="13" spans="1:28" ht="15" thickBot="1" x14ac:dyDescent="0.4">
      <c r="D13" s="14" t="s">
        <v>0</v>
      </c>
      <c r="E13" s="14">
        <v>0</v>
      </c>
      <c r="F13" s="15">
        <f>+E13+D14</f>
        <v>0</v>
      </c>
      <c r="Q13" s="15">
        <v>40</v>
      </c>
      <c r="R13" s="15">
        <f>+S13-Q13</f>
        <v>40</v>
      </c>
      <c r="S13" s="15">
        <f>+S8</f>
        <v>80</v>
      </c>
      <c r="V13" s="15">
        <v>0</v>
      </c>
      <c r="W13" s="15">
        <f>+X13-V13</f>
        <v>100</v>
      </c>
      <c r="X13" s="15">
        <f>+X12</f>
        <v>100</v>
      </c>
      <c r="Z13" s="48"/>
      <c r="AA13" s="49"/>
      <c r="AB13" s="50"/>
    </row>
    <row r="14" spans="1:28" x14ac:dyDescent="0.35">
      <c r="D14" s="15">
        <v>0</v>
      </c>
      <c r="E14" s="15">
        <f>+F14-D14</f>
        <v>0</v>
      </c>
      <c r="F14" s="15">
        <f>+I16</f>
        <v>0</v>
      </c>
      <c r="I14" s="15">
        <f>+I16-I15</f>
        <v>0</v>
      </c>
      <c r="N14" s="15">
        <f>+N16-N15</f>
        <v>0</v>
      </c>
    </row>
    <row r="15" spans="1:28" x14ac:dyDescent="0.35">
      <c r="H15" s="14" t="s">
        <v>9</v>
      </c>
      <c r="I15" s="15">
        <f>+F13</f>
        <v>0</v>
      </c>
      <c r="J15" s="15">
        <f>+I15+H16</f>
        <v>20</v>
      </c>
      <c r="M15" s="14" t="s">
        <v>11</v>
      </c>
      <c r="N15" s="15">
        <f>+J15</f>
        <v>20</v>
      </c>
      <c r="O15" s="15">
        <f>+N15+M16</f>
        <v>40</v>
      </c>
    </row>
    <row r="16" spans="1:28" x14ac:dyDescent="0.35">
      <c r="H16" s="15">
        <v>20</v>
      </c>
      <c r="I16" s="15">
        <f>+J16-H16</f>
        <v>0</v>
      </c>
      <c r="J16" s="15">
        <f>+N16</f>
        <v>20</v>
      </c>
      <c r="M16" s="15">
        <v>20</v>
      </c>
      <c r="N16" s="15">
        <f>+O16-M16</f>
        <v>20</v>
      </c>
      <c r="O16" s="15">
        <f>+R13</f>
        <v>40</v>
      </c>
    </row>
    <row r="21" spans="1:6" s="16" customFormat="1" x14ac:dyDescent="0.35">
      <c r="A21" s="16" t="s">
        <v>0</v>
      </c>
    </row>
    <row r="23" spans="1:6" x14ac:dyDescent="0.35">
      <c r="A23" s="32" t="s">
        <v>39</v>
      </c>
      <c r="B23" s="32"/>
    </row>
    <row r="26" spans="1:6" s="16" customFormat="1" x14ac:dyDescent="0.35">
      <c r="A26" s="16" t="s">
        <v>8</v>
      </c>
    </row>
    <row r="29" spans="1:6" x14ac:dyDescent="0.35">
      <c r="C29" s="31" t="s">
        <v>20</v>
      </c>
      <c r="D29" s="31"/>
    </row>
    <row r="30" spans="1:6" x14ac:dyDescent="0.35">
      <c r="A30" s="31" t="s">
        <v>18</v>
      </c>
      <c r="B30" s="31"/>
      <c r="C30" s="31" t="s">
        <v>21</v>
      </c>
      <c r="D30" s="31"/>
      <c r="E30" s="31" t="s">
        <v>22</v>
      </c>
      <c r="F30" s="31"/>
    </row>
    <row r="31" spans="1:6" x14ac:dyDescent="0.35">
      <c r="A31" s="31" t="s">
        <v>19</v>
      </c>
      <c r="B31" s="31"/>
      <c r="C31" s="31" t="s">
        <v>23</v>
      </c>
      <c r="D31" s="31"/>
      <c r="E31" s="31" t="s">
        <v>24</v>
      </c>
      <c r="F31" s="31"/>
    </row>
    <row r="35" spans="1:4" s="16" customFormat="1" x14ac:dyDescent="0.35">
      <c r="A35" s="16" t="s">
        <v>9</v>
      </c>
    </row>
    <row r="37" spans="1:4" x14ac:dyDescent="0.35">
      <c r="A37" s="30" t="s">
        <v>40</v>
      </c>
      <c r="B37" s="30"/>
      <c r="C37" s="30"/>
      <c r="D37" s="30"/>
    </row>
    <row r="38" spans="1:4" x14ac:dyDescent="0.35">
      <c r="A38" s="30"/>
      <c r="B38" s="30"/>
      <c r="C38" s="30"/>
      <c r="D38" s="30"/>
    </row>
  </sheetData>
  <mergeCells count="10">
    <mergeCell ref="A31:B31"/>
    <mergeCell ref="C31:D31"/>
    <mergeCell ref="E31:F31"/>
    <mergeCell ref="A37:D38"/>
    <mergeCell ref="Z12:AB13"/>
    <mergeCell ref="A23:B23"/>
    <mergeCell ref="C29:D29"/>
    <mergeCell ref="A30:B30"/>
    <mergeCell ref="C30:D30"/>
    <mergeCell ref="E30:F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1489-7AB7-4F91-AED0-5773879494DF}">
  <dimension ref="A1:H36"/>
  <sheetViews>
    <sheetView topLeftCell="A22" workbookViewId="0">
      <selection activeCell="F11" sqref="F11"/>
    </sheetView>
  </sheetViews>
  <sheetFormatPr baseColWidth="10" defaultRowHeight="14.5" x14ac:dyDescent="0.35"/>
  <cols>
    <col min="1" max="16384" width="10.90625" style="7"/>
  </cols>
  <sheetData>
    <row r="1" spans="1:8" x14ac:dyDescent="0.35">
      <c r="A1" s="7">
        <v>4</v>
      </c>
    </row>
    <row r="3" spans="1:8" s="26" customFormat="1" x14ac:dyDescent="0.35">
      <c r="A3" s="26" t="s">
        <v>0</v>
      </c>
    </row>
    <row r="5" spans="1:8" x14ac:dyDescent="0.35">
      <c r="C5" s="7" t="s">
        <v>44</v>
      </c>
      <c r="D5" s="7">
        <v>100</v>
      </c>
      <c r="F5" s="27">
        <v>0.3</v>
      </c>
    </row>
    <row r="6" spans="1:8" x14ac:dyDescent="0.35">
      <c r="A6" s="7" t="s">
        <v>41</v>
      </c>
      <c r="C6" s="7" t="s">
        <v>45</v>
      </c>
      <c r="D6" s="7">
        <v>50</v>
      </c>
      <c r="F6" s="27">
        <v>0.5</v>
      </c>
      <c r="H6" s="7">
        <v>35</v>
      </c>
    </row>
    <row r="7" spans="1:8" x14ac:dyDescent="0.35">
      <c r="C7" s="7" t="s">
        <v>46</v>
      </c>
      <c r="D7" s="7">
        <v>-100</v>
      </c>
      <c r="F7" s="27">
        <v>0.2</v>
      </c>
    </row>
    <row r="12" spans="1:8" x14ac:dyDescent="0.35">
      <c r="C12" s="7" t="s">
        <v>44</v>
      </c>
      <c r="D12" s="7">
        <v>10</v>
      </c>
      <c r="F12" s="27">
        <v>0.3</v>
      </c>
    </row>
    <row r="13" spans="1:8" x14ac:dyDescent="0.35">
      <c r="A13" s="7" t="s">
        <v>42</v>
      </c>
      <c r="C13" s="7" t="s">
        <v>45</v>
      </c>
      <c r="D13" s="7">
        <v>0</v>
      </c>
      <c r="F13" s="27">
        <v>0.5</v>
      </c>
      <c r="H13" s="7">
        <v>1</v>
      </c>
    </row>
    <row r="14" spans="1:8" x14ac:dyDescent="0.35">
      <c r="C14" s="7" t="s">
        <v>46</v>
      </c>
      <c r="D14" s="7">
        <v>-10</v>
      </c>
      <c r="F14" s="27">
        <v>0.2</v>
      </c>
    </row>
    <row r="19" spans="1:8" x14ac:dyDescent="0.35">
      <c r="C19" s="7" t="s">
        <v>44</v>
      </c>
      <c r="D19" s="7">
        <v>40</v>
      </c>
      <c r="F19" s="27">
        <v>0.3</v>
      </c>
    </row>
    <row r="20" spans="1:8" x14ac:dyDescent="0.35">
      <c r="A20" s="7" t="s">
        <v>43</v>
      </c>
      <c r="C20" s="7" t="s">
        <v>45</v>
      </c>
      <c r="D20" s="7">
        <v>20</v>
      </c>
      <c r="F20" s="27">
        <v>0.5</v>
      </c>
      <c r="H20" s="7">
        <v>14</v>
      </c>
    </row>
    <row r="21" spans="1:8" x14ac:dyDescent="0.35">
      <c r="C21" s="7" t="s">
        <v>46</v>
      </c>
      <c r="D21" s="7">
        <v>-40</v>
      </c>
      <c r="F21" s="27">
        <v>0.2</v>
      </c>
    </row>
    <row r="25" spans="1:8" s="26" customFormat="1" x14ac:dyDescent="0.35">
      <c r="A25" s="26" t="s">
        <v>8</v>
      </c>
    </row>
    <row r="28" spans="1:8" x14ac:dyDescent="0.35">
      <c r="A28" s="30" t="s">
        <v>47</v>
      </c>
      <c r="B28" s="30"/>
      <c r="C28" s="30"/>
      <c r="D28" s="30"/>
      <c r="E28" s="30"/>
      <c r="F28" s="30"/>
    </row>
    <row r="29" spans="1:8" x14ac:dyDescent="0.35">
      <c r="A29" s="30"/>
      <c r="B29" s="30"/>
      <c r="C29" s="30"/>
      <c r="D29" s="30"/>
      <c r="E29" s="30"/>
      <c r="F29" s="30"/>
    </row>
    <row r="30" spans="1:8" x14ac:dyDescent="0.35">
      <c r="A30" s="30" t="s">
        <v>48</v>
      </c>
      <c r="B30" s="30"/>
      <c r="C30" s="30"/>
      <c r="D30" s="30"/>
      <c r="E30" s="30"/>
      <c r="F30" s="30"/>
    </row>
    <row r="31" spans="1:8" x14ac:dyDescent="0.35">
      <c r="A31" s="30"/>
      <c r="B31" s="30"/>
      <c r="C31" s="30"/>
      <c r="D31" s="30"/>
      <c r="E31" s="30"/>
      <c r="F31" s="30"/>
    </row>
    <row r="32" spans="1:8" x14ac:dyDescent="0.35">
      <c r="A32" s="30" t="s">
        <v>49</v>
      </c>
      <c r="B32" s="30"/>
      <c r="C32" s="30"/>
      <c r="D32" s="30"/>
      <c r="E32" s="30"/>
      <c r="F32" s="30"/>
    </row>
    <row r="33" spans="1:7" x14ac:dyDescent="0.35">
      <c r="A33" s="30"/>
      <c r="B33" s="30"/>
      <c r="C33" s="30"/>
      <c r="D33" s="30"/>
      <c r="E33" s="30"/>
      <c r="F33" s="30"/>
    </row>
    <row r="35" spans="1:7" x14ac:dyDescent="0.35">
      <c r="A35" s="30" t="s">
        <v>50</v>
      </c>
      <c r="B35" s="30"/>
      <c r="C35" s="30"/>
      <c r="D35" s="30"/>
      <c r="E35" s="30"/>
      <c r="F35" s="30"/>
      <c r="G35" s="30"/>
    </row>
    <row r="36" spans="1:7" x14ac:dyDescent="0.35">
      <c r="A36" s="30"/>
      <c r="B36" s="30"/>
      <c r="C36" s="30"/>
      <c r="D36" s="30"/>
      <c r="E36" s="30"/>
      <c r="F36" s="30"/>
      <c r="G36" s="30"/>
    </row>
  </sheetData>
  <mergeCells count="7">
    <mergeCell ref="A35:G36"/>
    <mergeCell ref="B28:F29"/>
    <mergeCell ref="A28:A29"/>
    <mergeCell ref="A30:A31"/>
    <mergeCell ref="B30:F31"/>
    <mergeCell ref="A32:A33"/>
    <mergeCell ref="B32:F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D9B2-7308-45B6-BD9C-CB73E6187B94}">
  <dimension ref="A1:H40"/>
  <sheetViews>
    <sheetView topLeftCell="A31" zoomScale="85" zoomScaleNormal="85" workbookViewId="0">
      <selection activeCell="A39" sqref="A39:G40"/>
    </sheetView>
  </sheetViews>
  <sheetFormatPr baseColWidth="10" defaultRowHeight="14.5" x14ac:dyDescent="0.35"/>
  <cols>
    <col min="1" max="1" width="13.6328125" customWidth="1"/>
    <col min="4" max="4" width="13.453125" customWidth="1"/>
  </cols>
  <sheetData>
    <row r="1" spans="1:8" x14ac:dyDescent="0.35">
      <c r="A1">
        <v>5</v>
      </c>
    </row>
    <row r="3" spans="1:8" x14ac:dyDescent="0.35">
      <c r="A3" s="7"/>
      <c r="B3" s="7"/>
      <c r="C3" s="7"/>
      <c r="D3" s="7"/>
      <c r="E3" s="7"/>
      <c r="F3" s="7"/>
      <c r="G3" s="7"/>
    </row>
    <row r="4" spans="1:8" s="16" customFormat="1" x14ac:dyDescent="0.35">
      <c r="A4" s="26" t="s">
        <v>0</v>
      </c>
      <c r="B4" s="26"/>
      <c r="C4" s="26"/>
      <c r="D4" s="26"/>
      <c r="E4" s="26"/>
      <c r="F4" s="26"/>
      <c r="G4" s="26"/>
    </row>
    <row r="5" spans="1:8" x14ac:dyDescent="0.35">
      <c r="A5" s="7"/>
      <c r="B5" s="7"/>
      <c r="C5" s="7"/>
      <c r="D5" s="7"/>
      <c r="E5" s="7"/>
      <c r="F5" s="7"/>
      <c r="G5" s="7"/>
    </row>
    <row r="6" spans="1:8" x14ac:dyDescent="0.35">
      <c r="A6" s="7"/>
      <c r="B6" s="7"/>
      <c r="C6" s="7" t="s">
        <v>54</v>
      </c>
      <c r="D6" s="28">
        <v>30000000</v>
      </c>
      <c r="E6" s="7"/>
      <c r="F6" s="27">
        <v>0.1</v>
      </c>
      <c r="G6" s="7"/>
    </row>
    <row r="7" spans="1:8" x14ac:dyDescent="0.35">
      <c r="A7" s="7" t="s">
        <v>51</v>
      </c>
      <c r="B7" s="7"/>
      <c r="C7" s="7" t="s">
        <v>55</v>
      </c>
      <c r="D7" s="28">
        <v>5000000</v>
      </c>
      <c r="E7" s="7"/>
      <c r="F7" s="27">
        <v>0.5</v>
      </c>
      <c r="G7" s="7"/>
      <c r="H7" s="29">
        <v>1500000</v>
      </c>
    </row>
    <row r="8" spans="1:8" x14ac:dyDescent="0.35">
      <c r="A8" s="7"/>
      <c r="B8" s="7"/>
      <c r="C8" s="7" t="s">
        <v>56</v>
      </c>
      <c r="D8" s="28">
        <v>-10000000</v>
      </c>
      <c r="E8" s="7"/>
      <c r="F8" s="27">
        <v>0.4</v>
      </c>
      <c r="G8" s="7"/>
    </row>
    <row r="9" spans="1:8" x14ac:dyDescent="0.35">
      <c r="A9" s="7"/>
      <c r="B9" s="7"/>
      <c r="C9" s="7"/>
      <c r="D9" s="7"/>
      <c r="E9" s="7"/>
      <c r="F9" s="7"/>
      <c r="G9" s="7"/>
    </row>
    <row r="10" spans="1:8" x14ac:dyDescent="0.35">
      <c r="A10" s="7"/>
      <c r="B10" s="7"/>
      <c r="C10" s="7"/>
      <c r="D10" s="7"/>
      <c r="E10" s="7"/>
      <c r="F10" s="7"/>
      <c r="G10" s="7"/>
    </row>
    <row r="11" spans="1:8" x14ac:dyDescent="0.35">
      <c r="A11" s="7"/>
      <c r="B11" s="7"/>
      <c r="C11" s="7"/>
      <c r="D11" s="7"/>
      <c r="E11" s="7"/>
      <c r="F11" s="7"/>
      <c r="G11" s="7"/>
    </row>
    <row r="12" spans="1:8" x14ac:dyDescent="0.35">
      <c r="A12" s="7"/>
      <c r="B12" s="7"/>
      <c r="C12" s="7"/>
      <c r="D12" s="7"/>
      <c r="E12" s="7"/>
      <c r="F12" s="7"/>
      <c r="G12" s="7"/>
    </row>
    <row r="13" spans="1:8" x14ac:dyDescent="0.35">
      <c r="A13" s="7"/>
      <c r="B13" s="7"/>
      <c r="C13" s="7" t="s">
        <v>54</v>
      </c>
      <c r="D13" s="28">
        <v>40000000</v>
      </c>
      <c r="E13" s="7"/>
      <c r="F13" s="27">
        <v>0.1</v>
      </c>
      <c r="G13" s="7"/>
    </row>
    <row r="14" spans="1:8" x14ac:dyDescent="0.35">
      <c r="A14" s="7" t="s">
        <v>52</v>
      </c>
      <c r="B14" s="7"/>
      <c r="C14" s="7" t="s">
        <v>55</v>
      </c>
      <c r="D14" s="28">
        <v>10000000</v>
      </c>
      <c r="E14" s="7"/>
      <c r="F14" s="27">
        <v>0.5</v>
      </c>
      <c r="G14" s="7"/>
      <c r="H14" s="29">
        <v>-3000000</v>
      </c>
    </row>
    <row r="15" spans="1:8" x14ac:dyDescent="0.35">
      <c r="A15" s="7"/>
      <c r="B15" s="7"/>
      <c r="C15" s="7" t="s">
        <v>56</v>
      </c>
      <c r="D15" s="28">
        <v>-30000000</v>
      </c>
      <c r="E15" s="7"/>
      <c r="F15" s="27">
        <v>0.4</v>
      </c>
      <c r="G15" s="7"/>
    </row>
    <row r="16" spans="1:8" x14ac:dyDescent="0.35">
      <c r="A16" s="7"/>
      <c r="B16" s="7"/>
      <c r="C16" s="7"/>
      <c r="D16" s="7"/>
      <c r="E16" s="7"/>
      <c r="F16" s="7"/>
      <c r="G16" s="7"/>
    </row>
    <row r="17" spans="1:8" x14ac:dyDescent="0.35">
      <c r="A17" s="7"/>
      <c r="B17" s="7"/>
      <c r="C17" s="7"/>
      <c r="D17" s="7"/>
      <c r="E17" s="7"/>
      <c r="F17" s="7"/>
      <c r="G17" s="7"/>
    </row>
    <row r="18" spans="1:8" x14ac:dyDescent="0.35">
      <c r="A18" s="7"/>
      <c r="B18" s="7"/>
      <c r="C18" s="7"/>
      <c r="D18" s="7"/>
      <c r="E18" s="7"/>
      <c r="F18" s="7"/>
      <c r="G18" s="7"/>
    </row>
    <row r="19" spans="1:8" x14ac:dyDescent="0.35">
      <c r="A19" s="7"/>
      <c r="B19" s="7"/>
      <c r="C19" s="7"/>
      <c r="D19" s="7"/>
      <c r="E19" s="7"/>
      <c r="F19" s="7"/>
      <c r="G19" s="7"/>
    </row>
    <row r="20" spans="1:8" x14ac:dyDescent="0.35">
      <c r="A20" s="7"/>
      <c r="B20" s="7"/>
      <c r="C20" s="7" t="s">
        <v>54</v>
      </c>
      <c r="D20" s="28">
        <v>-10000000</v>
      </c>
      <c r="E20" s="7"/>
      <c r="F20" s="27">
        <v>0.1</v>
      </c>
      <c r="G20" s="7"/>
    </row>
    <row r="21" spans="1:8" x14ac:dyDescent="0.35">
      <c r="A21" s="7" t="s">
        <v>53</v>
      </c>
      <c r="B21" s="7"/>
      <c r="C21" s="7" t="s">
        <v>55</v>
      </c>
      <c r="D21" s="7">
        <v>0</v>
      </c>
      <c r="E21" s="7"/>
      <c r="F21" s="27">
        <v>0.5</v>
      </c>
      <c r="G21" s="7"/>
      <c r="H21" s="29">
        <v>5000000</v>
      </c>
    </row>
    <row r="22" spans="1:8" x14ac:dyDescent="0.35">
      <c r="A22" s="7"/>
      <c r="B22" s="7"/>
      <c r="C22" s="7" t="s">
        <v>56</v>
      </c>
      <c r="D22" s="28">
        <v>15000000</v>
      </c>
      <c r="E22" s="7"/>
      <c r="F22" s="27">
        <v>0.4</v>
      </c>
      <c r="G22" s="7"/>
    </row>
    <row r="23" spans="1:8" x14ac:dyDescent="0.35">
      <c r="A23" s="7"/>
      <c r="B23" s="7"/>
      <c r="C23" s="7"/>
      <c r="D23" s="7"/>
      <c r="E23" s="7"/>
      <c r="F23" s="7"/>
      <c r="G23" s="7"/>
    </row>
    <row r="24" spans="1:8" x14ac:dyDescent="0.35">
      <c r="A24" s="7"/>
      <c r="B24" s="7"/>
      <c r="C24" s="7"/>
      <c r="D24" s="7"/>
      <c r="E24" s="7"/>
      <c r="F24" s="7"/>
      <c r="G24" s="7"/>
    </row>
    <row r="25" spans="1:8" x14ac:dyDescent="0.35">
      <c r="A25" s="7"/>
      <c r="B25" s="7"/>
      <c r="C25" s="7"/>
      <c r="D25" s="7"/>
      <c r="E25" s="7"/>
      <c r="F25" s="7"/>
      <c r="G25" s="7"/>
    </row>
    <row r="26" spans="1:8" s="16" customFormat="1" x14ac:dyDescent="0.35">
      <c r="A26" s="26" t="s">
        <v>8</v>
      </c>
      <c r="B26" s="26"/>
      <c r="C26" s="26"/>
      <c r="D26" s="26"/>
      <c r="E26" s="26"/>
      <c r="F26" s="26"/>
      <c r="G26" s="26"/>
    </row>
    <row r="27" spans="1:8" x14ac:dyDescent="0.35">
      <c r="A27" s="7"/>
      <c r="B27" s="7"/>
      <c r="C27" s="7"/>
      <c r="D27" s="7"/>
      <c r="E27" s="7"/>
      <c r="F27" s="7"/>
      <c r="G27" s="7"/>
    </row>
    <row r="28" spans="1:8" x14ac:dyDescent="0.35">
      <c r="A28" s="7"/>
      <c r="B28" s="7"/>
      <c r="C28" s="7"/>
      <c r="D28" s="7"/>
      <c r="E28" s="7"/>
      <c r="F28" s="7"/>
      <c r="G28" s="7"/>
    </row>
    <row r="29" spans="1:8" x14ac:dyDescent="0.35">
      <c r="A29" s="51" t="s">
        <v>51</v>
      </c>
      <c r="B29" s="51"/>
      <c r="C29" s="51"/>
      <c r="D29" s="51"/>
      <c r="E29" s="51"/>
      <c r="F29" s="51"/>
      <c r="G29" s="51"/>
      <c r="H29" s="51"/>
    </row>
    <row r="30" spans="1:8" x14ac:dyDescent="0.35">
      <c r="A30" s="51"/>
      <c r="B30" s="51"/>
      <c r="C30" s="51"/>
      <c r="D30" s="51"/>
      <c r="E30" s="51"/>
      <c r="F30" s="51"/>
      <c r="G30" s="51"/>
      <c r="H30" s="51"/>
    </row>
    <row r="31" spans="1:8" x14ac:dyDescent="0.35">
      <c r="A31" s="51" t="s">
        <v>52</v>
      </c>
      <c r="B31" s="51"/>
      <c r="C31" s="51"/>
      <c r="D31" s="51"/>
      <c r="E31" s="51"/>
      <c r="F31" s="51"/>
      <c r="G31" s="51"/>
      <c r="H31" s="51"/>
    </row>
    <row r="32" spans="1:8" x14ac:dyDescent="0.35">
      <c r="A32" s="51"/>
      <c r="B32" s="51"/>
      <c r="C32" s="51"/>
      <c r="D32" s="51"/>
      <c r="E32" s="51"/>
      <c r="F32" s="51"/>
      <c r="G32" s="51"/>
      <c r="H32" s="51"/>
    </row>
    <row r="33" spans="1:8" x14ac:dyDescent="0.35">
      <c r="A33" s="51" t="s">
        <v>53</v>
      </c>
      <c r="B33" s="51"/>
      <c r="C33" s="51"/>
      <c r="D33" s="51"/>
      <c r="E33" s="51"/>
      <c r="F33" s="51"/>
      <c r="G33" s="51"/>
      <c r="H33" s="51"/>
    </row>
    <row r="34" spans="1:8" x14ac:dyDescent="0.35">
      <c r="A34" s="51"/>
      <c r="B34" s="51"/>
      <c r="C34" s="51"/>
      <c r="D34" s="51"/>
      <c r="E34" s="51"/>
      <c r="F34" s="51"/>
      <c r="G34" s="51"/>
      <c r="H34" s="51"/>
    </row>
    <row r="35" spans="1:8" x14ac:dyDescent="0.35">
      <c r="A35" s="7"/>
      <c r="B35" s="7"/>
      <c r="C35" s="7"/>
      <c r="D35" s="7"/>
      <c r="E35" s="7"/>
      <c r="F35" s="7"/>
      <c r="G35" s="7"/>
    </row>
    <row r="37" spans="1:8" s="16" customFormat="1" x14ac:dyDescent="0.35">
      <c r="A37" s="16" t="s">
        <v>9</v>
      </c>
    </row>
    <row r="38" spans="1:8" x14ac:dyDescent="0.35">
      <c r="A38" s="7"/>
      <c r="B38" s="7"/>
      <c r="C38" s="7"/>
      <c r="D38" s="7"/>
      <c r="E38" s="7"/>
      <c r="F38" s="7"/>
      <c r="G38" s="7"/>
    </row>
    <row r="39" spans="1:8" x14ac:dyDescent="0.35">
      <c r="A39" s="30" t="s">
        <v>57</v>
      </c>
      <c r="B39" s="30"/>
      <c r="C39" s="30"/>
      <c r="D39" s="30"/>
      <c r="E39" s="30"/>
      <c r="F39" s="30"/>
      <c r="G39" s="30"/>
    </row>
    <row r="40" spans="1:8" x14ac:dyDescent="0.35">
      <c r="A40" s="30"/>
      <c r="B40" s="30"/>
      <c r="C40" s="30"/>
      <c r="D40" s="30"/>
      <c r="E40" s="30"/>
      <c r="F40" s="30"/>
      <c r="G40" s="30"/>
    </row>
  </sheetData>
  <mergeCells count="7">
    <mergeCell ref="A39:G40"/>
    <mergeCell ref="B29:H30"/>
    <mergeCell ref="B31:H32"/>
    <mergeCell ref="B33:H34"/>
    <mergeCell ref="A29:A30"/>
    <mergeCell ref="A31:A32"/>
    <mergeCell ref="A33:A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BERNAL</dc:creator>
  <cp:lastModifiedBy>Usuario</cp:lastModifiedBy>
  <dcterms:created xsi:type="dcterms:W3CDTF">2015-06-05T18:19:34Z</dcterms:created>
  <dcterms:modified xsi:type="dcterms:W3CDTF">2025-09-09T13:53:49Z</dcterms:modified>
</cp:coreProperties>
</file>