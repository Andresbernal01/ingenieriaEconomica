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_User\Documents\"/>
    </mc:Choice>
  </mc:AlternateContent>
  <bookViews>
    <workbookView xWindow="0" yWindow="0" windowWidth="20490" windowHeight="7755"/>
  </bookViews>
  <sheets>
    <sheet name="Problema1" sheetId="2" r:id="rId1"/>
    <sheet name="Problema2" sheetId="3" r:id="rId2"/>
    <sheet name="Problema3" sheetId="4" r:id="rId3"/>
    <sheet name="Problema4" sheetId="5" r:id="rId4"/>
    <sheet name="Problema5" sheetId="6" r:id="rId5"/>
    <sheet name="Problema6" sheetId="7" r:id="rId6"/>
    <sheet name="Problema7" sheetId="8" r:id="rId7"/>
    <sheet name="Problema8" sheetId="9" r:id="rId8"/>
    <sheet name="Problema9" sheetId="10" r:id="rId9"/>
    <sheet name="Problema10" sheetId="11" r:id="rId10"/>
  </sheets>
  <calcPr calcId="152511"/>
</workbook>
</file>

<file path=xl/calcChain.xml><?xml version="1.0" encoding="utf-8"?>
<calcChain xmlns="http://schemas.openxmlformats.org/spreadsheetml/2006/main">
  <c r="B25" i="3" l="1"/>
  <c r="F7" i="2"/>
  <c r="B7" i="11"/>
  <c r="C7" i="10"/>
  <c r="B13" i="10" s="1"/>
  <c r="C6" i="10"/>
  <c r="B12" i="10" s="1"/>
  <c r="C5" i="10"/>
  <c r="B11" i="10" s="1"/>
  <c r="C4" i="10"/>
  <c r="B10" i="10" s="1"/>
  <c r="B7" i="9"/>
  <c r="C7" i="8"/>
  <c r="D7" i="8" s="1"/>
  <c r="C14" i="8" s="1"/>
  <c r="C6" i="8"/>
  <c r="D6" i="8" s="1"/>
  <c r="C13" i="8" s="1"/>
  <c r="C5" i="8"/>
  <c r="D5" i="8" s="1"/>
  <c r="C12" i="8" s="1"/>
  <c r="C4" i="8"/>
  <c r="D4" i="8" s="1"/>
  <c r="C11" i="8" s="1"/>
  <c r="B7" i="7"/>
  <c r="B15" i="6"/>
  <c r="B11" i="6"/>
  <c r="B7" i="6"/>
  <c r="B17" i="6" s="1"/>
  <c r="B5" i="5"/>
  <c r="B7" i="5" s="1"/>
  <c r="B8" i="4"/>
  <c r="B5" i="4"/>
  <c r="B12" i="4" s="1"/>
  <c r="B20" i="3"/>
  <c r="B17" i="3"/>
  <c r="B24" i="3" s="1"/>
  <c r="B13" i="3"/>
  <c r="B23" i="3" s="1"/>
  <c r="B8" i="3"/>
  <c r="B22" i="3" s="1"/>
  <c r="D7" i="2"/>
  <c r="F6" i="2"/>
  <c r="D6" i="2"/>
  <c r="E6" i="2" s="1"/>
  <c r="F5" i="2"/>
  <c r="E5" i="2"/>
  <c r="D5" i="2"/>
  <c r="E4" i="2"/>
  <c r="D4" i="2"/>
  <c r="F4" i="2" s="1"/>
  <c r="D3" i="2"/>
  <c r="F3" i="2" s="1"/>
  <c r="F10" i="2" s="1"/>
  <c r="F11" i="2" s="1"/>
  <c r="B9" i="5" l="1"/>
  <c r="B10" i="5" s="1"/>
  <c r="E3" i="2"/>
  <c r="E7" i="2"/>
  <c r="B12" i="5" l="1"/>
  <c r="B14" i="5"/>
  <c r="B16" i="5" s="1"/>
  <c r="B19" i="5" s="1"/>
</calcChain>
</file>

<file path=xl/sharedStrings.xml><?xml version="1.0" encoding="utf-8"?>
<sst xmlns="http://schemas.openxmlformats.org/spreadsheetml/2006/main" count="66" uniqueCount="66">
  <si>
    <t>Problema 1 - Depósitos en cuenta con interés SIMPLE (0.75% quincenal)</t>
  </si>
  <si>
    <t>Depósito</t>
  </si>
  <si>
    <t>Valor</t>
  </si>
  <si>
    <t>Meses desde apertura</t>
  </si>
  <si>
    <t>Quincenas hasta 24 meses</t>
  </si>
  <si>
    <t>Fórmula FV (Excel)</t>
  </si>
  <si>
    <t>FV (resultado)</t>
  </si>
  <si>
    <t>Depósito 1</t>
  </si>
  <si>
    <t>Depósito 2</t>
  </si>
  <si>
    <t>Depósito 3</t>
  </si>
  <si>
    <t>Depósito 4</t>
  </si>
  <si>
    <t>Depósito 5</t>
  </si>
  <si>
    <t>Tasa quincenal (decimal):</t>
  </si>
  <si>
    <t>Suma FVs:</t>
  </si>
  <si>
    <t>P inicial necesaria (depósito único t=0):</t>
  </si>
  <si>
    <t>Problema 2 - Comparar ofertas (descuento al 20% anual)</t>
  </si>
  <si>
    <t>Tasa anual efectiva (r):</t>
  </si>
  <si>
    <t>Opción a (183M):</t>
  </si>
  <si>
    <t>Opción b (184M):</t>
  </si>
  <si>
    <t>Opción c (sobre precio actual 180M):</t>
  </si>
  <si>
    <t>Opción d (sobre precio actual 180M):</t>
  </si>
  <si>
    <t>Problema 3 - Ahorro para reemplazo de maquinaria</t>
  </si>
  <si>
    <t>Precio nueva maquinaria:</t>
  </si>
  <si>
    <t>Venta maquinaria usada a 1.5 años:</t>
  </si>
  <si>
    <t>Tasa nominal anual (convertible trimestral):</t>
  </si>
  <si>
    <t>Número de trimestres a 1.5 años:</t>
  </si>
  <si>
    <t>Problema 4 - Movimientos en cuenta con capitalización mensual (14% anual)</t>
  </si>
  <si>
    <t>Depósito inicial (t=0):</t>
  </si>
  <si>
    <t>Tasa anual nominal (mes vencido):</t>
  </si>
  <si>
    <t>Problema 5 - Interés compuesto con tasas variables (capitalización trimestral)</t>
  </si>
  <si>
    <t>Inversión inicial:</t>
  </si>
  <si>
    <t>Primer periodo (2 años) trimestres:</t>
  </si>
  <si>
    <t>Tasa nominal anual (1er periodo) (10%):</t>
  </si>
  <si>
    <t>Segundo periodo (1.5 años) trimestres:</t>
  </si>
  <si>
    <t>Tasa nominal anual (2do periodo) (12%):</t>
  </si>
  <si>
    <t>Tercer periodo (resto 1.5 años) trimestres:</t>
  </si>
  <si>
    <t>Tasa nominal anual (3er periodo) (14%):</t>
  </si>
  <si>
    <t>Problema 6 - Préstamo con tasa efectiva mensual 1.2% por 5 años, monto acumulado al final = 15M</t>
  </si>
  <si>
    <t>Monto acumulado al final (FV):</t>
  </si>
  <si>
    <t>Tasa efectiva mensual (i_m):</t>
  </si>
  <si>
    <t>Número de meses (5 años):</t>
  </si>
  <si>
    <t>Problema 7 - Convertir tasas nominadas anticipadas a tasa efectiva mensual</t>
  </si>
  <si>
    <t>Mensual (nom. anticipada):</t>
  </si>
  <si>
    <t>Bimensual (nom. anticipada):</t>
  </si>
  <si>
    <t>Trimestral (nom. anticipada):</t>
  </si>
  <si>
    <t>Semestral (nom. anticipada):</t>
  </si>
  <si>
    <t>i_k = 1/(1-d_k) - 1 ; i_m = (1+i_k)^(1/k) - 1</t>
  </si>
  <si>
    <t>Resultados (tasa efectiva mensual equivalente):</t>
  </si>
  <si>
    <t>Mensual</t>
  </si>
  <si>
    <t>Bimensual -&gt; mensual</t>
  </si>
  <si>
    <t>Trimestral -&gt; mensual</t>
  </si>
  <si>
    <t>Semestral -&gt; mensual</t>
  </si>
  <si>
    <t>Problema 8 - Tasa requerida para que 30M -&gt; 38M en 5 años</t>
  </si>
  <si>
    <t>Capital inicial (P):</t>
  </si>
  <si>
    <t>Monto final (F):</t>
  </si>
  <si>
    <t>Número de años (n):</t>
  </si>
  <si>
    <t>Problema 9 - Equivalencia a tasa efectiva trimestral</t>
  </si>
  <si>
    <t>Mensual (i_m):</t>
  </si>
  <si>
    <t>Bimensual (i_2m):</t>
  </si>
  <si>
    <t>Trimestral (i_3m):</t>
  </si>
  <si>
    <t>Semestral (i_6m):</t>
  </si>
  <si>
    <t>Resultados - equivalencia en tasa efectiva trimestral:</t>
  </si>
  <si>
    <t>Problema 10 - Inversión 20M por 5 años a 5% efectivo semestral</t>
  </si>
  <si>
    <t>Inversión inicial (P):</t>
  </si>
  <si>
    <t>Tasa semestral (i_s):</t>
  </si>
  <si>
    <t>Número de semestres (5 años):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</si>
</sst>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6" width="28.7109375" customWidth="1"/>
  </cols>
  <sheetData>
    <row r="1" spans="1:6" x14ac:dyDescent="0.25">
      <c r="A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t="s">
        <v>7</v>
      </c>
      <c r="B3" s="2">
        <v>750000</v>
      </c>
      <c r="C3">
        <v>4.5</v>
      </c>
      <c r="D3">
        <f>48 - (C3*2)</f>
        <v>39</v>
      </c>
      <c r="E3">
        <f>B3*(1+$B$9*D3)</f>
        <v>969375</v>
      </c>
      <c r="F3" s="2">
        <f>B3*(1+$B$9*D3)</f>
        <v>969375</v>
      </c>
    </row>
    <row r="4" spans="1:6" x14ac:dyDescent="0.25">
      <c r="A4" t="s">
        <v>8</v>
      </c>
      <c r="B4" s="2">
        <v>950000</v>
      </c>
      <c r="C4">
        <v>6.5</v>
      </c>
      <c r="D4">
        <f>48 - (C4*2)</f>
        <v>35</v>
      </c>
      <c r="E4">
        <f>B4*(1+$B$9*D4)</f>
        <v>1199375</v>
      </c>
      <c r="F4" s="2">
        <f>B4*(1+$B$9*D4)</f>
        <v>1199375</v>
      </c>
    </row>
    <row r="5" spans="1:6" x14ac:dyDescent="0.25">
      <c r="A5" t="s">
        <v>9</v>
      </c>
      <c r="B5" s="2">
        <v>1200000</v>
      </c>
      <c r="C5">
        <v>9.5</v>
      </c>
      <c r="D5">
        <f>48 - (C5*2)</f>
        <v>29</v>
      </c>
      <c r="E5">
        <f>B5*(1+$B$9*D5)</f>
        <v>1461000</v>
      </c>
      <c r="F5" s="2">
        <f>B5*(1+$B$9*D5)</f>
        <v>1461000</v>
      </c>
    </row>
    <row r="6" spans="1:6" x14ac:dyDescent="0.25">
      <c r="A6" t="s">
        <v>10</v>
      </c>
      <c r="B6" s="2">
        <v>1650000</v>
      </c>
      <c r="C6">
        <v>15</v>
      </c>
      <c r="D6">
        <f>48 - (C6*2)</f>
        <v>18</v>
      </c>
      <c r="E6">
        <f>B6*(1+$B$9*D6)</f>
        <v>1872750</v>
      </c>
      <c r="F6" s="2">
        <f>B6*(1+$B$9*D6)</f>
        <v>1872750</v>
      </c>
    </row>
    <row r="7" spans="1:6" x14ac:dyDescent="0.25">
      <c r="A7" t="s">
        <v>11</v>
      </c>
      <c r="B7" s="2">
        <v>1700000</v>
      </c>
      <c r="C7">
        <v>18</v>
      </c>
      <c r="D7">
        <f>48 - (C7*2)</f>
        <v>12</v>
      </c>
      <c r="E7">
        <f>B7*(1+$B$9*D7)</f>
        <v>1853000.0000000002</v>
      </c>
      <c r="F7" s="2">
        <f>B7*(1+$B$9*D7)</f>
        <v>1853000.0000000002</v>
      </c>
    </row>
    <row r="9" spans="1:6" x14ac:dyDescent="0.25">
      <c r="A9" s="1" t="s">
        <v>12</v>
      </c>
      <c r="B9">
        <v>7.4999999999999997E-3</v>
      </c>
    </row>
    <row r="10" spans="1:6" x14ac:dyDescent="0.25">
      <c r="E10" s="1" t="s">
        <v>13</v>
      </c>
      <c r="F10" s="2">
        <f>SUM(F2:F6)</f>
        <v>5502500</v>
      </c>
    </row>
    <row r="11" spans="1:6" x14ac:dyDescent="0.25">
      <c r="E11" s="1" t="s">
        <v>14</v>
      </c>
      <c r="F11" s="2">
        <f>F10/(1+$B$9*48)</f>
        <v>4045955.8823529417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opLeftCell="A13" workbookViewId="0">
      <selection activeCell="B26" sqref="B26"/>
    </sheetView>
  </sheetViews>
  <sheetFormatPr baseColWidth="10" defaultColWidth="9.140625" defaultRowHeight="15" x14ac:dyDescent="0.25"/>
  <cols>
    <col min="1" max="2" width="40.7109375" customWidth="1"/>
  </cols>
  <sheetData>
    <row r="1" spans="1:2" x14ac:dyDescent="0.25">
      <c r="A1" s="1" t="s">
        <v>15</v>
      </c>
    </row>
    <row r="3" spans="1:2" x14ac:dyDescent="0.25">
      <c r="A3" s="1" t="s">
        <v>16</v>
      </c>
      <c r="B3">
        <v>0.2</v>
      </c>
    </row>
    <row r="5" spans="1:2" x14ac:dyDescent="0.25">
      <c r="A5" s="1" t="s">
        <v>17</v>
      </c>
    </row>
    <row r="6" spans="1:2" x14ac:dyDescent="0.25">
      <c r="B6">
        <v>183000000</v>
      </c>
    </row>
    <row r="8" spans="1:2" x14ac:dyDescent="0.25">
      <c r="B8">
        <f>B6*0.28 + B6*(1-0.28)/(POWER(1+$B$3,0.5))</f>
        <v>171519873.62813449</v>
      </c>
    </row>
    <row r="10" spans="1:2" x14ac:dyDescent="0.25">
      <c r="A10" s="1" t="s">
        <v>18</v>
      </c>
    </row>
    <row r="11" spans="1:2" x14ac:dyDescent="0.25">
      <c r="B11">
        <v>184000000</v>
      </c>
    </row>
    <row r="13" spans="1:2" x14ac:dyDescent="0.25">
      <c r="B13">
        <f>B11*0.25 + B11*(1-0.25)/(POWER(1+$B$3,1))</f>
        <v>161000000</v>
      </c>
    </row>
    <row r="15" spans="1:2" x14ac:dyDescent="0.25">
      <c r="A15" s="1" t="s">
        <v>19</v>
      </c>
    </row>
    <row r="16" spans="1:2" x14ac:dyDescent="0.25">
      <c r="B16">
        <v>180000000</v>
      </c>
    </row>
    <row r="17" spans="1:2" x14ac:dyDescent="0.25">
      <c r="B17">
        <f>B16*0.5 + B16*0.5/POWER(1+$B$3,1)</f>
        <v>165000000</v>
      </c>
    </row>
    <row r="19" spans="1:2" x14ac:dyDescent="0.25">
      <c r="A19" s="1" t="s">
        <v>20</v>
      </c>
    </row>
    <row r="20" spans="1:2" x14ac:dyDescent="0.25">
      <c r="B20">
        <f>B16*0.8/POWER(1+$B$3,0.5) + B16*0.2/POWER(1+$B$3,1)</f>
        <v>161453413.80123988</v>
      </c>
    </row>
    <row r="22" spans="1:2" x14ac:dyDescent="0.25">
      <c r="B22">
        <f>B8</f>
        <v>171519873.62813449</v>
      </c>
    </row>
    <row r="23" spans="1:2" x14ac:dyDescent="0.25">
      <c r="B23">
        <f>B13</f>
        <v>161000000</v>
      </c>
    </row>
    <row r="24" spans="1:2" x14ac:dyDescent="0.25">
      <c r="B24">
        <f>B17</f>
        <v>165000000</v>
      </c>
    </row>
    <row r="25" spans="1:2" x14ac:dyDescent="0.25">
      <c r="B25">
        <f>B20</f>
        <v>161453413.80123988</v>
      </c>
    </row>
    <row r="27" spans="1:2" x14ac:dyDescent="0.25">
      <c r="B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baseColWidth="10" defaultColWidth="9.140625" defaultRowHeight="15" x14ac:dyDescent="0.25"/>
  <cols>
    <col min="1" max="2" width="48.7109375" customWidth="1"/>
  </cols>
  <sheetData>
    <row r="1" spans="1:2" x14ac:dyDescent="0.25">
      <c r="A1" s="1" t="s">
        <v>21</v>
      </c>
    </row>
    <row r="3" spans="1:2" x14ac:dyDescent="0.25">
      <c r="A3" s="1" t="s">
        <v>22</v>
      </c>
      <c r="B3">
        <v>50000000</v>
      </c>
    </row>
    <row r="4" spans="1:2" x14ac:dyDescent="0.25">
      <c r="A4" s="1" t="s">
        <v>23</v>
      </c>
      <c r="B4">
        <v>25000000</v>
      </c>
    </row>
    <row r="5" spans="1:2" x14ac:dyDescent="0.25">
      <c r="B5">
        <f>B3 - B4</f>
        <v>25000000</v>
      </c>
    </row>
    <row r="7" spans="1:2" x14ac:dyDescent="0.25">
      <c r="A7" s="1" t="s">
        <v>24</v>
      </c>
      <c r="B7">
        <v>0.18</v>
      </c>
    </row>
    <row r="8" spans="1:2" x14ac:dyDescent="0.25">
      <c r="B8">
        <f>B7/4</f>
        <v>4.4999999999999998E-2</v>
      </c>
    </row>
    <row r="10" spans="1:2" x14ac:dyDescent="0.25">
      <c r="A10" s="1" t="s">
        <v>25</v>
      </c>
      <c r="B10">
        <v>6</v>
      </c>
    </row>
    <row r="12" spans="1:2" x14ac:dyDescent="0.25">
      <c r="B12">
        <f>B5 / POWER(1 + B8, B10)</f>
        <v>19197393.45695417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baseColWidth="10" defaultColWidth="9.140625" defaultRowHeight="15" x14ac:dyDescent="0.25"/>
  <cols>
    <col min="1" max="2" width="60.7109375" customWidth="1"/>
  </cols>
  <sheetData>
    <row r="1" spans="1:2" x14ac:dyDescent="0.25">
      <c r="A1" s="1" t="s">
        <v>26</v>
      </c>
    </row>
    <row r="3" spans="1:2" x14ac:dyDescent="0.25">
      <c r="A3" s="1" t="s">
        <v>27</v>
      </c>
      <c r="B3">
        <v>15000000</v>
      </c>
    </row>
    <row r="4" spans="1:2" x14ac:dyDescent="0.25">
      <c r="A4" s="1" t="s">
        <v>28</v>
      </c>
      <c r="B4">
        <v>0.14000000000000001</v>
      </c>
    </row>
    <row r="5" spans="1:2" x14ac:dyDescent="0.25">
      <c r="B5">
        <f>B4/12</f>
        <v>1.1666666666666667E-2</v>
      </c>
    </row>
    <row r="7" spans="1:2" x14ac:dyDescent="0.25">
      <c r="B7">
        <f>B3 * POWER(1 + B5, 12)</f>
        <v>17240130.438107364</v>
      </c>
    </row>
    <row r="9" spans="1:2" x14ac:dyDescent="0.25">
      <c r="B9">
        <f>B7 / 2</f>
        <v>8620065.2190536819</v>
      </c>
    </row>
    <row r="10" spans="1:2" x14ac:dyDescent="0.25">
      <c r="B10">
        <f>B7 - B9</f>
        <v>8620065.2190536819</v>
      </c>
    </row>
    <row r="12" spans="1:2" x14ac:dyDescent="0.25">
      <c r="B12">
        <f>B10</f>
        <v>8620065.2190536819</v>
      </c>
    </row>
    <row r="14" spans="1:2" x14ac:dyDescent="0.25">
      <c r="B14">
        <f>B10 * POWER(1 + B5, 6)</f>
        <v>9241345.2577566039</v>
      </c>
    </row>
    <row r="16" spans="1:2" x14ac:dyDescent="0.25">
      <c r="B16">
        <f>B14 + B12</f>
        <v>17861410.476810284</v>
      </c>
    </row>
    <row r="18" spans="2:2" x14ac:dyDescent="0.25">
      <c r="B18">
        <v>12</v>
      </c>
    </row>
    <row r="19" spans="2:2" x14ac:dyDescent="0.25">
      <c r="B19">
        <f>B16 * POWER(1 + B5, B18)</f>
        <v>20528869.761919118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3" sqref="B3"/>
    </sheetView>
  </sheetViews>
  <sheetFormatPr baseColWidth="10" defaultColWidth="9.140625" defaultRowHeight="15" x14ac:dyDescent="0.25"/>
  <cols>
    <col min="1" max="2" width="60.7109375" customWidth="1"/>
  </cols>
  <sheetData>
    <row r="1" spans="1:2" x14ac:dyDescent="0.25">
      <c r="A1" s="1" t="s">
        <v>29</v>
      </c>
    </row>
    <row r="3" spans="1:2" x14ac:dyDescent="0.25">
      <c r="A3" s="1" t="s">
        <v>30</v>
      </c>
      <c r="B3">
        <v>18000000</v>
      </c>
    </row>
    <row r="5" spans="1:2" x14ac:dyDescent="0.25">
      <c r="A5" s="1" t="s">
        <v>31</v>
      </c>
      <c r="B5">
        <v>8</v>
      </c>
    </row>
    <row r="6" spans="1:2" x14ac:dyDescent="0.25">
      <c r="A6" s="1" t="s">
        <v>32</v>
      </c>
      <c r="B6">
        <v>0.1</v>
      </c>
    </row>
    <row r="7" spans="1:2" x14ac:dyDescent="0.25">
      <c r="B7">
        <f>B6/4</f>
        <v>2.5000000000000001E-2</v>
      </c>
    </row>
    <row r="9" spans="1:2" x14ac:dyDescent="0.25">
      <c r="A9" s="1" t="s">
        <v>33</v>
      </c>
      <c r="B9">
        <v>6</v>
      </c>
    </row>
    <row r="10" spans="1:2" x14ac:dyDescent="0.25">
      <c r="A10" s="1" t="s">
        <v>34</v>
      </c>
      <c r="B10">
        <v>0.12</v>
      </c>
    </row>
    <row r="11" spans="1:2" x14ac:dyDescent="0.25">
      <c r="B11">
        <f>B10/4</f>
        <v>0.03</v>
      </c>
    </row>
    <row r="13" spans="1:2" x14ac:dyDescent="0.25">
      <c r="A13" s="1" t="s">
        <v>35</v>
      </c>
      <c r="B13">
        <v>6</v>
      </c>
    </row>
    <row r="14" spans="1:2" x14ac:dyDescent="0.25">
      <c r="A14" s="1" t="s">
        <v>36</v>
      </c>
      <c r="B14">
        <v>0.14000000000000001</v>
      </c>
    </row>
    <row r="15" spans="1:2" x14ac:dyDescent="0.25">
      <c r="B15">
        <f>B14/4</f>
        <v>3.5000000000000003E-2</v>
      </c>
    </row>
    <row r="17" spans="2:2" x14ac:dyDescent="0.25">
      <c r="B17">
        <f>B3 * POWER(1+B7, B5) * POWER(1+B11, B9) * POWER(1+B15, B13)</f>
        <v>32190585.446839236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baseColWidth="10" defaultColWidth="9.140625" defaultRowHeight="15" x14ac:dyDescent="0.25"/>
  <cols>
    <col min="1" max="2" width="60.7109375" customWidth="1"/>
  </cols>
  <sheetData>
    <row r="1" spans="1:2" x14ac:dyDescent="0.25">
      <c r="A1" s="1" t="s">
        <v>37</v>
      </c>
    </row>
    <row r="3" spans="1:2" x14ac:dyDescent="0.25">
      <c r="A3" s="1" t="s">
        <v>38</v>
      </c>
      <c r="B3">
        <v>15000000</v>
      </c>
    </row>
    <row r="4" spans="1:2" x14ac:dyDescent="0.25">
      <c r="A4" s="1" t="s">
        <v>39</v>
      </c>
      <c r="B4">
        <v>1.2E-2</v>
      </c>
    </row>
    <row r="5" spans="1:2" x14ac:dyDescent="0.25">
      <c r="A5" s="1" t="s">
        <v>40</v>
      </c>
      <c r="B5">
        <v>60</v>
      </c>
    </row>
    <row r="7" spans="1:2" x14ac:dyDescent="0.25">
      <c r="B7">
        <f>B3 / POWER(1 + B4, B5)</f>
        <v>7332642.4521805933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baseColWidth="10" defaultColWidth="9.140625" defaultRowHeight="15" x14ac:dyDescent="0.25"/>
  <cols>
    <col min="1" max="4" width="40.7109375" customWidth="1"/>
  </cols>
  <sheetData>
    <row r="1" spans="1:4" x14ac:dyDescent="0.25">
      <c r="A1" s="1" t="s">
        <v>41</v>
      </c>
    </row>
    <row r="4" spans="1:4" x14ac:dyDescent="0.25">
      <c r="A4" t="s">
        <v>42</v>
      </c>
      <c r="B4">
        <v>1.2500000000000001E-2</v>
      </c>
      <c r="C4">
        <f>1/(1-B4)-1</f>
        <v>1.2658227848101111E-2</v>
      </c>
      <c r="D4">
        <f>POWER(1+C4,1)-1</f>
        <v>1.2658227848101111E-2</v>
      </c>
    </row>
    <row r="5" spans="1:4" x14ac:dyDescent="0.25">
      <c r="A5" t="s">
        <v>43</v>
      </c>
      <c r="B5">
        <v>2.1499999999999998E-2</v>
      </c>
      <c r="C5">
        <f>1/(1-B5)-1</f>
        <v>2.197240674501777E-2</v>
      </c>
      <c r="D5">
        <f>POWER(1+C5,1/2)-1</f>
        <v>1.0926509072255897E-2</v>
      </c>
    </row>
    <row r="6" spans="1:4" x14ac:dyDescent="0.25">
      <c r="A6" t="s">
        <v>44</v>
      </c>
      <c r="B6">
        <v>3.2500000000000001E-2</v>
      </c>
      <c r="C6">
        <f>1/(1-B6)-1</f>
        <v>3.3591731266149782E-2</v>
      </c>
      <c r="D6">
        <f>POWER(1+C6,1/3)-1</f>
        <v>1.1074154164969929E-2</v>
      </c>
    </row>
    <row r="7" spans="1:4" x14ac:dyDescent="0.25">
      <c r="A7" t="s">
        <v>45</v>
      </c>
      <c r="B7">
        <v>6.4500000000000002E-2</v>
      </c>
      <c r="C7">
        <f>1/(1-B7)-1</f>
        <v>6.8947087119187511E-2</v>
      </c>
      <c r="D7">
        <f>POWER(1+C7,1/6)-1</f>
        <v>1.1174327104816806E-2</v>
      </c>
    </row>
    <row r="9" spans="1:4" x14ac:dyDescent="0.25">
      <c r="A9" t="s">
        <v>46</v>
      </c>
    </row>
    <row r="11" spans="1:4" x14ac:dyDescent="0.25">
      <c r="A11" s="1" t="s">
        <v>47</v>
      </c>
      <c r="B11" t="s">
        <v>48</v>
      </c>
      <c r="C11">
        <f>D4</f>
        <v>1.2658227848101111E-2</v>
      </c>
    </row>
    <row r="12" spans="1:4" x14ac:dyDescent="0.25">
      <c r="B12" t="s">
        <v>49</v>
      </c>
      <c r="C12">
        <f>D5</f>
        <v>1.0926509072255897E-2</v>
      </c>
    </row>
    <row r="13" spans="1:4" x14ac:dyDescent="0.25">
      <c r="B13" t="s">
        <v>50</v>
      </c>
      <c r="C13">
        <f>D6</f>
        <v>1.1074154164969929E-2</v>
      </c>
    </row>
    <row r="14" spans="1:4" x14ac:dyDescent="0.25">
      <c r="B14" t="s">
        <v>51</v>
      </c>
      <c r="C14">
        <f>D7</f>
        <v>1.1174327104816806E-2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baseColWidth="10" defaultColWidth="9.140625" defaultRowHeight="15" x14ac:dyDescent="0.25"/>
  <cols>
    <col min="1" max="2" width="50.7109375" customWidth="1"/>
  </cols>
  <sheetData>
    <row r="1" spans="1:2" x14ac:dyDescent="0.25">
      <c r="A1" s="1" t="s">
        <v>52</v>
      </c>
    </row>
    <row r="3" spans="1:2" x14ac:dyDescent="0.25">
      <c r="A3" t="s">
        <v>53</v>
      </c>
      <c r="B3">
        <v>30000000</v>
      </c>
    </row>
    <row r="4" spans="1:2" x14ac:dyDescent="0.25">
      <c r="A4" t="s">
        <v>54</v>
      </c>
      <c r="B4">
        <v>38000000</v>
      </c>
    </row>
    <row r="5" spans="1:2" x14ac:dyDescent="0.25">
      <c r="A5" t="s">
        <v>55</v>
      </c>
      <c r="B5">
        <v>5</v>
      </c>
    </row>
    <row r="7" spans="1:2" x14ac:dyDescent="0.25">
      <c r="B7">
        <f>POWER(B4/B3, 1/B5) - 1</f>
        <v>4.8413171284721557E-2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baseColWidth="10" defaultColWidth="9.140625" defaultRowHeight="15" x14ac:dyDescent="0.25"/>
  <cols>
    <col min="1" max="3" width="60.7109375" customWidth="1"/>
  </cols>
  <sheetData>
    <row r="1" spans="1:3" x14ac:dyDescent="0.25">
      <c r="A1" s="1" t="s">
        <v>56</v>
      </c>
    </row>
    <row r="4" spans="1:3" x14ac:dyDescent="0.25">
      <c r="A4" t="s">
        <v>57</v>
      </c>
      <c r="B4">
        <v>1.35E-2</v>
      </c>
      <c r="C4">
        <f>POWER(1+B4, 3) - 1</f>
        <v>4.10492103750002E-2</v>
      </c>
    </row>
    <row r="5" spans="1:3" x14ac:dyDescent="0.25">
      <c r="A5" t="s">
        <v>58</v>
      </c>
      <c r="B5">
        <v>2.4E-2</v>
      </c>
      <c r="C5">
        <f>POWER(1+B5, 3/2) - 1</f>
        <v>3.6215143683974604E-2</v>
      </c>
    </row>
    <row r="6" spans="1:3" x14ac:dyDescent="0.25">
      <c r="A6" t="s">
        <v>59</v>
      </c>
      <c r="B6">
        <v>3.5999999999999997E-2</v>
      </c>
      <c r="C6">
        <f>B6</f>
        <v>3.5999999999999997E-2</v>
      </c>
    </row>
    <row r="7" spans="1:3" x14ac:dyDescent="0.25">
      <c r="A7" t="s">
        <v>60</v>
      </c>
      <c r="B7">
        <v>6.7000000000000004E-2</v>
      </c>
      <c r="C7">
        <f>POWER(1+B7, 1/2) - 1</f>
        <v>3.2956920689338309E-2</v>
      </c>
    </row>
    <row r="9" spans="1:3" x14ac:dyDescent="0.25">
      <c r="A9" s="1" t="s">
        <v>61</v>
      </c>
    </row>
    <row r="10" spans="1:3" x14ac:dyDescent="0.25">
      <c r="B10">
        <f>C4</f>
        <v>4.10492103750002E-2</v>
      </c>
    </row>
    <row r="11" spans="1:3" x14ac:dyDescent="0.25">
      <c r="B11">
        <f>C5</f>
        <v>3.6215143683974604E-2</v>
      </c>
    </row>
    <row r="12" spans="1:3" x14ac:dyDescent="0.25">
      <c r="B12">
        <f>C6</f>
        <v>3.5999999999999997E-2</v>
      </c>
    </row>
    <row r="13" spans="1:3" x14ac:dyDescent="0.25">
      <c r="B13">
        <f>C7</f>
        <v>3.2956920689338309E-2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baseColWidth="10" defaultColWidth="9.140625" defaultRowHeight="15" x14ac:dyDescent="0.25"/>
  <cols>
    <col min="1" max="2" width="50.7109375" customWidth="1"/>
  </cols>
  <sheetData>
    <row r="1" spans="1:2" x14ac:dyDescent="0.25">
      <c r="A1" s="1" t="s">
        <v>62</v>
      </c>
    </row>
    <row r="3" spans="1:2" x14ac:dyDescent="0.25">
      <c r="A3" t="s">
        <v>63</v>
      </c>
      <c r="B3">
        <v>20000000</v>
      </c>
    </row>
    <row r="4" spans="1:2" x14ac:dyDescent="0.25">
      <c r="A4" t="s">
        <v>64</v>
      </c>
      <c r="B4">
        <v>0.05</v>
      </c>
    </row>
    <row r="5" spans="1:2" x14ac:dyDescent="0.25">
      <c r="A5" t="s">
        <v>65</v>
      </c>
      <c r="B5">
        <v>10</v>
      </c>
    </row>
    <row r="7" spans="1:2" x14ac:dyDescent="0.25">
      <c r="B7">
        <f>B3 * POWER(1 + B4, B5)</f>
        <v>32577892.535548832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Problema1</vt:lpstr>
      <vt:lpstr>Problema2</vt:lpstr>
      <vt:lpstr>Problema3</vt:lpstr>
      <vt:lpstr>Problema4</vt:lpstr>
      <vt:lpstr>Problema5</vt:lpstr>
      <vt:lpstr>Problema6</vt:lpstr>
      <vt:lpstr>Problema7</vt:lpstr>
      <vt:lpstr>Problema8</vt:lpstr>
      <vt:lpstr>Problema9</vt:lpstr>
      <vt:lpstr>Problema10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Torres</dc:creator>
  <cp:lastModifiedBy>User</cp:lastModifiedBy>
  <dcterms:created xsi:type="dcterms:W3CDTF">2025-09-11T21:19:28Z</dcterms:created>
  <dcterms:modified xsi:type="dcterms:W3CDTF">2025-09-11T21:35:22Z</dcterms:modified>
</cp:coreProperties>
</file>